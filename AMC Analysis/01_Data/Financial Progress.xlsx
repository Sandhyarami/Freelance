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3" documentId="13_ncr:1_{F3C4C65A-40D4-447F-BFEF-FBCF45119CDE}" xr6:coauthVersionLast="36" xr6:coauthVersionMax="47" xr10:uidLastSave="{926DC04E-BE56-41F9-9AAD-1EA7AC41CB22}"/>
  <bookViews>
    <workbookView xWindow="-120" yWindow="-120" windowWidth="29040" windowHeight="15840" activeTab="1" xr2:uid="{00000000-000D-0000-FFFF-FFFF00000000}"/>
  </bookViews>
  <sheets>
    <sheet name="Financial progress" sheetId="1" r:id="rId1"/>
    <sheet name="Sheet4" sheetId="7" r:id="rId2"/>
  </sheets>
  <definedNames>
    <definedName name="_xlnm._FilterDatabase" localSheetId="1" hidden="1">Sheet4!$A$1:$AT$21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<sst xmlns="http://schemas.openxmlformats.org/spreadsheetml/2006/main" count="391" uniqueCount="275">
  <si>
    <t>Sr. No.</t>
  </si>
  <si>
    <t>Estimated tender cost</t>
  </si>
  <si>
    <t>Approved tender cost</t>
  </si>
  <si>
    <t>No. of bidders who submitted the bid</t>
  </si>
  <si>
    <t>Tender sanctioned vide resolution no.___ dated ___</t>
  </si>
  <si>
    <t>Tender sanctioning authority</t>
  </si>
  <si>
    <t>Time period to complete the work</t>
  </si>
  <si>
    <t>Work order date</t>
  </si>
  <si>
    <t>Bank guarantee amount and validity</t>
  </si>
  <si>
    <t>Letter of Intent date</t>
  </si>
  <si>
    <t>Anticipated date of completion</t>
  </si>
  <si>
    <t>Extension of time limit given (Authority's resolution no. and period till which it is extended)</t>
  </si>
  <si>
    <t>Revised tender cost and resolution no.</t>
  </si>
  <si>
    <t>Extra items (amount and resolution no.)</t>
  </si>
  <si>
    <t>Financial progress in a graphical presentation</t>
  </si>
  <si>
    <t>Milestone achievement</t>
  </si>
  <si>
    <t>Name of the work</t>
  </si>
  <si>
    <t>Name of the contractor</t>
  </si>
  <si>
    <t>Penalty amounts, if any</t>
  </si>
  <si>
    <t>Comparative statement approval</t>
  </si>
  <si>
    <t>Name of the Project Management Consultant</t>
  </si>
  <si>
    <t>Estimated fees for consultancy</t>
  </si>
  <si>
    <t>Work completion date</t>
  </si>
  <si>
    <t>Performance bond (amount &amp; validity)</t>
  </si>
  <si>
    <t>Defect liability period</t>
  </si>
  <si>
    <t>Bank guarantee details submitted against mobilization advance</t>
  </si>
  <si>
    <t>Status on recovery of mobilization advance</t>
  </si>
  <si>
    <t>User department</t>
  </si>
  <si>
    <t>Account code</t>
  </si>
  <si>
    <t>Sanctioned budget amount</t>
  </si>
  <si>
    <t>Project code</t>
  </si>
  <si>
    <t>Total amount of work done (to be updated on fixed intervals)</t>
  </si>
  <si>
    <t>Mobilization advance paid, if any</t>
  </si>
  <si>
    <t>Mobilization advance recovered, if any</t>
  </si>
  <si>
    <t>Outstandin mobilization amount</t>
  </si>
  <si>
    <t>Total amount withheld from the bill (retention money, material testing charges, penalty etc.)</t>
  </si>
  <si>
    <t>Total amount paid till date to the contractor</t>
  </si>
  <si>
    <t>Value of outstanding liabilities (work certified but unpaid)</t>
  </si>
  <si>
    <t>RA bill wise financial progress (Work period &amp; amount of work done)</t>
  </si>
  <si>
    <t>Financial progress parameters</t>
  </si>
  <si>
    <t>15 Months</t>
  </si>
  <si>
    <t>24 Months</t>
  </si>
  <si>
    <t>12 Months</t>
  </si>
  <si>
    <t>14 Months</t>
  </si>
  <si>
    <t>18 Months</t>
  </si>
  <si>
    <t>10 Months</t>
  </si>
  <si>
    <t>8 Months</t>
  </si>
  <si>
    <t>Approved</t>
  </si>
  <si>
    <t>Tender sanctioned vide resolution dated</t>
  </si>
  <si>
    <t>Bank guarantee validity</t>
  </si>
  <si>
    <t>Performance bond validity</t>
  </si>
  <si>
    <t>Sr</t>
  </si>
  <si>
    <t>Road Widening</t>
  </si>
  <si>
    <t>ABC Infra</t>
  </si>
  <si>
    <t>PWD</t>
  </si>
  <si>
    <t>AC001</t>
  </si>
  <si>
    <t>PRJ001</t>
  </si>
  <si>
    <t>Submitted</t>
  </si>
  <si>
    <t>Ongoing</t>
  </si>
  <si>
    <t>XYZ PMC</t>
  </si>
  <si>
    <t>Water Supply Scheme</t>
  </si>
  <si>
    <t>DEF Projects</t>
  </si>
  <si>
    <t>Municipal Corp</t>
  </si>
  <si>
    <t>Water Dept</t>
  </si>
  <si>
    <t>AC002</t>
  </si>
  <si>
    <t>PRJ002</t>
  </si>
  <si>
    <t>Partial</t>
  </si>
  <si>
    <t>ABC PMC</t>
  </si>
  <si>
    <t>Bridge Construction</t>
  </si>
  <si>
    <t>GHI Builders</t>
  </si>
  <si>
    <t>State Govt</t>
  </si>
  <si>
    <t>AC003</t>
  </si>
  <si>
    <t>PRJ003</t>
  </si>
  <si>
    <t>6 Months</t>
  </si>
  <si>
    <t>Infra PMC</t>
  </si>
  <si>
    <t>Govt Office Building</t>
  </si>
  <si>
    <t>JKL Engineers</t>
  </si>
  <si>
    <t>UD Dept</t>
  </si>
  <si>
    <t>AC004</t>
  </si>
  <si>
    <t>PRJ004</t>
  </si>
  <si>
    <t>Build PMC</t>
  </si>
  <si>
    <t>Drainage Network</t>
  </si>
  <si>
    <t>Drain Dept</t>
  </si>
  <si>
    <t>AC005</t>
  </si>
  <si>
    <t>PRJ005</t>
  </si>
  <si>
    <t>City PMC</t>
  </si>
  <si>
    <t>School Building</t>
  </si>
  <si>
    <t>PQR Infra</t>
  </si>
  <si>
    <t>Education Dept</t>
  </si>
  <si>
    <t>Edu Dept</t>
  </si>
  <si>
    <t>AC006</t>
  </si>
  <si>
    <t>PRJ006</t>
  </si>
  <si>
    <t>Edu PMC</t>
  </si>
  <si>
    <t>Hospital Renovation</t>
  </si>
  <si>
    <t>STU Works</t>
  </si>
  <si>
    <t>Health Dept</t>
  </si>
  <si>
    <t>9 Months</t>
  </si>
  <si>
    <t>AC007</t>
  </si>
  <si>
    <t>PRJ007</t>
  </si>
  <si>
    <t>Health PMC</t>
  </si>
  <si>
    <t>Street Lighting</t>
  </si>
  <si>
    <t>UVW Electricals</t>
  </si>
  <si>
    <t>Electrical</t>
  </si>
  <si>
    <t>AC008</t>
  </si>
  <si>
    <t>PRJ008</t>
  </si>
  <si>
    <t>Power PMC</t>
  </si>
  <si>
    <t>Sewage Treatment Plant</t>
  </si>
  <si>
    <t>Aqua Infra</t>
  </si>
  <si>
    <t>30 Months</t>
  </si>
  <si>
    <t>AC009</t>
  </si>
  <si>
    <t>PRJ009</t>
  </si>
  <si>
    <t>Civil 30%</t>
  </si>
  <si>
    <t>Aqua PMC</t>
  </si>
  <si>
    <t>Bus Terminal</t>
  </si>
  <si>
    <t>City Infra</t>
  </si>
  <si>
    <t>Transport Dept</t>
  </si>
  <si>
    <t>20 Months</t>
  </si>
  <si>
    <t>Transport</t>
  </si>
  <si>
    <t>AC010</t>
  </si>
  <si>
    <t>PRJ010</t>
  </si>
  <si>
    <t>Transit PMC</t>
  </si>
  <si>
    <t>Sports Complex</t>
  </si>
  <si>
    <t>FitBuild Ltd</t>
  </si>
  <si>
    <t>Sports Dept</t>
  </si>
  <si>
    <t>AC011</t>
  </si>
  <si>
    <t>PRJ011</t>
  </si>
  <si>
    <t>Sports PMC</t>
  </si>
  <si>
    <t>Public Toilet Block</t>
  </si>
  <si>
    <t>CleanBuild</t>
  </si>
  <si>
    <t>5 Months</t>
  </si>
  <si>
    <t>Sanitation</t>
  </si>
  <si>
    <t>AC012</t>
  </si>
  <si>
    <t>PRJ012</t>
  </si>
  <si>
    <t>Clean PMC</t>
  </si>
  <si>
    <t>Smart City CCTV</t>
  </si>
  <si>
    <t>Vision Tech</t>
  </si>
  <si>
    <t>Smart City SPV</t>
  </si>
  <si>
    <t>IT Dept</t>
  </si>
  <si>
    <t>AC013</t>
  </si>
  <si>
    <t>PRJ013</t>
  </si>
  <si>
    <t>Tech PMC</t>
  </si>
  <si>
    <t>Storm Water Drain</t>
  </si>
  <si>
    <t>Flow Infra</t>
  </si>
  <si>
    <t>AC014</t>
  </si>
  <si>
    <t>PRJ014</t>
  </si>
  <si>
    <t>Urban PMC</t>
  </si>
  <si>
    <t>Fire Station Building</t>
  </si>
  <si>
    <t>SafeBuild</t>
  </si>
  <si>
    <t>Home Dept</t>
  </si>
  <si>
    <t>16 Months</t>
  </si>
  <si>
    <t>Fire Dept</t>
  </si>
  <si>
    <t>AC015</t>
  </si>
  <si>
    <t>PRJ015</t>
  </si>
  <si>
    <t>Safety PMC</t>
  </si>
  <si>
    <t>Community Hall</t>
  </si>
  <si>
    <t>Unity Infra</t>
  </si>
  <si>
    <t>Social Welfare</t>
  </si>
  <si>
    <t>SW Dept</t>
  </si>
  <si>
    <t>AC016</t>
  </si>
  <si>
    <t>PRJ016</t>
  </si>
  <si>
    <t>Civic PMC</t>
  </si>
  <si>
    <t>Library Building</t>
  </si>
  <si>
    <t>Knowledge Infra</t>
  </si>
  <si>
    <t>AC017</t>
  </si>
  <si>
    <t>PRJ017</t>
  </si>
  <si>
    <t>Parking Plaza</t>
  </si>
  <si>
    <t>ParkBuild</t>
  </si>
  <si>
    <t>Parking Dept</t>
  </si>
  <si>
    <t>AC018</t>
  </si>
  <si>
    <t>PRJ018</t>
  </si>
  <si>
    <t>Traffic PMC</t>
  </si>
  <si>
    <t>Urban Park Development</t>
  </si>
  <si>
    <t>GreenScape</t>
  </si>
  <si>
    <t>Garden Dept</t>
  </si>
  <si>
    <t>AC019</t>
  </si>
  <si>
    <t>PRJ019</t>
  </si>
  <si>
    <t>Green PMC</t>
  </si>
  <si>
    <t>IT Office Renovation</t>
  </si>
  <si>
    <t>Digital Infra</t>
  </si>
  <si>
    <t>AC020</t>
  </si>
  <si>
    <t>PRJ020</t>
  </si>
  <si>
    <t>IT PMC</t>
  </si>
  <si>
    <t>101/2023</t>
  </si>
  <si>
    <t>102/2023</t>
  </si>
  <si>
    <t>110/2023</t>
  </si>
  <si>
    <t>115/2023</t>
  </si>
  <si>
    <t>118/2023</t>
  </si>
  <si>
    <t>120/2023</t>
  </si>
  <si>
    <t>125/2023</t>
  </si>
  <si>
    <t>130/2023</t>
  </si>
  <si>
    <t>135/2023</t>
  </si>
  <si>
    <t>140/2023</t>
  </si>
  <si>
    <t>Tender sanctioned vide resolution no.</t>
  </si>
  <si>
    <t>Revised tender resolution no.</t>
  </si>
  <si>
    <t>Extra items resolution no.</t>
  </si>
  <si>
    <t>Estimated tender cost (₹ Cr)</t>
  </si>
  <si>
    <t>Approved tender cost (₹ Cr)</t>
  </si>
  <si>
    <t>No. of bidders</t>
  </si>
  <si>
    <t>Sanctioned budget amount (₹ Cr)</t>
  </si>
  <si>
    <t>Bank guarantee amount (₹ Cr)</t>
  </si>
  <si>
    <t>Mobilization advance paid (₹ Cr)</t>
  </si>
  <si>
    <t>Mobilization advance recovered (₹ Cr)</t>
  </si>
  <si>
    <t>Outstanding mobilization amount (₹ Cr)</t>
  </si>
  <si>
    <t>BG details against mobilization advance</t>
  </si>
  <si>
    <t>Status on recovery</t>
  </si>
  <si>
    <t>Extension resolution no.</t>
  </si>
  <si>
    <t>Extension period upto</t>
  </si>
  <si>
    <t>Revised tender cost (₹ Cr)</t>
  </si>
  <si>
    <t>Total work done (₹ Cr)</t>
  </si>
  <si>
    <t>Amount withheld (₹ Cr)</t>
  </si>
  <si>
    <t>Total paid till date (₹ Cr)</t>
  </si>
  <si>
    <t>Outstanding liabilities (₹ Cr)</t>
  </si>
  <si>
    <t>Extra items amount (₹ Cr)</t>
  </si>
  <si>
    <t>Financial progress</t>
  </si>
  <si>
    <t>Penalty amount (₹ Cr)</t>
  </si>
  <si>
    <t>PMC name</t>
  </si>
  <si>
    <t>Consultancy fees (₹ Cr)</t>
  </si>
  <si>
    <t>Performance bond amount (₹ Cr)</t>
  </si>
  <si>
    <t>RA bill work period</t>
  </si>
  <si>
    <t>RA bill amount (₹ Cr)</t>
  </si>
  <si>
    <t>Phase-2 completed</t>
  </si>
  <si>
    <t>Feb–Jun 2024</t>
  </si>
  <si>
    <t>210/2023</t>
  </si>
  <si>
    <t>Phase-3 completed</t>
  </si>
  <si>
    <t>Apr–Dec 2023</t>
  </si>
  <si>
    <t>205/2024</t>
  </si>
  <si>
    <t>215/2024</t>
  </si>
  <si>
    <t>Pier work completed</t>
  </si>
  <si>
    <t>Jan–Dec 2024</t>
  </si>
  <si>
    <t>Urban Dev Dept</t>
  </si>
  <si>
    <t>Structure completed</t>
  </si>
  <si>
    <t>May 2023–Jan 2024</t>
  </si>
  <si>
    <t>MNO Construction</t>
  </si>
  <si>
    <t>Section-A completed</t>
  </si>
  <si>
    <t>Jun 2023–Feb 2024</t>
  </si>
  <si>
    <t>Slab completed</t>
  </si>
  <si>
    <t>Jul 23–Mar 24</t>
  </si>
  <si>
    <t>Near completion</t>
  </si>
  <si>
    <t>Interior completed</t>
  </si>
  <si>
    <t>Aug 23–Feb 24</t>
  </si>
  <si>
    <t>Recovered</t>
  </si>
  <si>
    <t>Installation completed</t>
  </si>
  <si>
    <t>Sep 23–Jan 24</t>
  </si>
  <si>
    <t>245/2024</t>
  </si>
  <si>
    <t>Oct 23–Dec 24</t>
  </si>
  <si>
    <t>Foundation completed</t>
  </si>
  <si>
    <t>Oct 23–Nov 24</t>
  </si>
  <si>
    <t>145/2023</t>
  </si>
  <si>
    <t>Track base done</t>
  </si>
  <si>
    <t>Nov 23–Dec 24</t>
  </si>
  <si>
    <t>150/2023</t>
  </si>
  <si>
    <t>Civil completed</t>
  </si>
  <si>
    <t>Nov 23–Mar 24</t>
  </si>
  <si>
    <t>155/2023</t>
  </si>
  <si>
    <t>Control room done</t>
  </si>
  <si>
    <t>Dec 23–Jun 24</t>
  </si>
  <si>
    <t>160/2023</t>
  </si>
  <si>
    <t>Stretch-1 completed</t>
  </si>
  <si>
    <t>Jan 24–Dec 24</t>
  </si>
  <si>
    <t>165/2023</t>
  </si>
  <si>
    <t>RCC completed</t>
  </si>
  <si>
    <t>Jan 24–Nov 24</t>
  </si>
  <si>
    <t>170/2024</t>
  </si>
  <si>
    <t>Brickwork done</t>
  </si>
  <si>
    <t>Feb–Sep 24</t>
  </si>
  <si>
    <t>175/2024</t>
  </si>
  <si>
    <t>Mar–Dec 24</t>
  </si>
  <si>
    <t>180/2024</t>
  </si>
  <si>
    <t>Basement completed</t>
  </si>
  <si>
    <t>Horticulture Dept</t>
  </si>
  <si>
    <t>185/2024</t>
  </si>
  <si>
    <t>Landscaping done</t>
  </si>
  <si>
    <t>Apr–Oct 24</t>
  </si>
  <si>
    <t>190/2024</t>
  </si>
  <si>
    <t>Apr–Aug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</si>
</sst>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AE04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selection activeCell="J16" sqref="J16"/>
    </sheetView>
  </sheetViews>
  <sheetFormatPr defaultColWidth="9.109375" defaultRowHeight="14.4" x14ac:dyDescent="0.3"/>
  <cols>
    <col min="1" max="1" width="9.109375" style="2"/>
    <col min="2" max="2" width="55.44140625" style="2" customWidth="1"/>
    <col min="3" max="4" width="9.109375" style="2"/>
    <col min="5" max="5" width="10.6640625" style="2" bestFit="1" customWidth="1"/>
    <col min="6" max="16384" width="9.109375" style="2"/>
  </cols>
  <sheetData>
    <row r="1" spans="1:2" x14ac:dyDescent="0.3">
      <c r="A1" s="1" t="s">
        <v>0</v>
      </c>
      <c r="B1" s="1" t="s">
        <v>39</v>
      </c>
    </row>
    <row r="2" spans="1:2" x14ac:dyDescent="0.3">
      <c r="A2" s="3">
        <v>1</v>
      </c>
      <c r="B2" s="3" t="s">
        <v>16</v>
      </c>
    </row>
    <row r="3" spans="1:2" x14ac:dyDescent="0.3">
      <c r="A3" s="3">
        <f>+A2+1</f>
        <v>2</v>
      </c>
      <c r="B3" s="3" t="s">
        <v>17</v>
      </c>
    </row>
    <row r="4" spans="1:2" x14ac:dyDescent="0.3">
      <c r="A4" s="3">
        <f t="shared" ref="A4:A39" si="0">+A3+1</f>
        <v>3</v>
      </c>
      <c r="B4" s="3" t="s">
        <v>1</v>
      </c>
    </row>
    <row r="5" spans="1:2" x14ac:dyDescent="0.3">
      <c r="A5" s="3">
        <f t="shared" si="0"/>
        <v>4</v>
      </c>
      <c r="B5" s="3" t="s">
        <v>2</v>
      </c>
    </row>
    <row r="6" spans="1:2" x14ac:dyDescent="0.3">
      <c r="A6" s="3">
        <f t="shared" si="0"/>
        <v>5</v>
      </c>
      <c r="B6" s="3" t="s">
        <v>3</v>
      </c>
    </row>
    <row r="7" spans="1:2" x14ac:dyDescent="0.3">
      <c r="A7" s="3">
        <f t="shared" si="0"/>
        <v>6</v>
      </c>
      <c r="B7" s="3" t="s">
        <v>5</v>
      </c>
    </row>
    <row r="8" spans="1:2" x14ac:dyDescent="0.3">
      <c r="A8" s="3">
        <f t="shared" si="0"/>
        <v>7</v>
      </c>
      <c r="B8" s="9" t="s">
        <v>4</v>
      </c>
    </row>
    <row r="9" spans="1:2" x14ac:dyDescent="0.3">
      <c r="A9" s="3">
        <f t="shared" si="0"/>
        <v>8</v>
      </c>
      <c r="B9" s="3" t="s">
        <v>6</v>
      </c>
    </row>
    <row r="10" spans="1:2" x14ac:dyDescent="0.3">
      <c r="A10" s="3">
        <f t="shared" si="0"/>
        <v>9</v>
      </c>
      <c r="B10" s="3" t="s">
        <v>27</v>
      </c>
    </row>
    <row r="11" spans="1:2" x14ac:dyDescent="0.3">
      <c r="A11" s="3">
        <f t="shared" si="0"/>
        <v>10</v>
      </c>
      <c r="B11" s="3" t="s">
        <v>28</v>
      </c>
    </row>
    <row r="12" spans="1:2" x14ac:dyDescent="0.3">
      <c r="A12" s="3">
        <f t="shared" si="0"/>
        <v>11</v>
      </c>
      <c r="B12" s="3" t="s">
        <v>29</v>
      </c>
    </row>
    <row r="13" spans="1:2" x14ac:dyDescent="0.3">
      <c r="A13" s="3">
        <f t="shared" si="0"/>
        <v>12</v>
      </c>
      <c r="B13" s="3" t="s">
        <v>30</v>
      </c>
    </row>
    <row r="14" spans="1:2" x14ac:dyDescent="0.3">
      <c r="A14" s="3">
        <f t="shared" si="0"/>
        <v>13</v>
      </c>
      <c r="B14" s="3" t="s">
        <v>9</v>
      </c>
    </row>
    <row r="15" spans="1:2" x14ac:dyDescent="0.3">
      <c r="A15" s="3">
        <f t="shared" si="0"/>
        <v>14</v>
      </c>
      <c r="B15" s="3" t="s">
        <v>7</v>
      </c>
    </row>
    <row r="16" spans="1:2" x14ac:dyDescent="0.3">
      <c r="A16" s="3">
        <f t="shared" si="0"/>
        <v>15</v>
      </c>
      <c r="B16" s="3" t="s">
        <v>10</v>
      </c>
    </row>
    <row r="17" spans="1:2" x14ac:dyDescent="0.3">
      <c r="A17" s="3">
        <f t="shared" si="0"/>
        <v>16</v>
      </c>
      <c r="B17" s="3" t="s">
        <v>8</v>
      </c>
    </row>
    <row r="18" spans="1:2" x14ac:dyDescent="0.3">
      <c r="A18" s="3">
        <f t="shared" si="0"/>
        <v>17</v>
      </c>
      <c r="B18" s="4" t="s">
        <v>32</v>
      </c>
    </row>
    <row r="19" spans="1:2" x14ac:dyDescent="0.3">
      <c r="A19" s="3">
        <f t="shared" si="0"/>
        <v>18</v>
      </c>
      <c r="B19" s="4" t="s">
        <v>33</v>
      </c>
    </row>
    <row r="20" spans="1:2" x14ac:dyDescent="0.3">
      <c r="A20" s="3">
        <f t="shared" si="0"/>
        <v>19</v>
      </c>
      <c r="B20" s="4" t="s">
        <v>34</v>
      </c>
    </row>
    <row r="21" spans="1:2" x14ac:dyDescent="0.3">
      <c r="A21" s="3">
        <f t="shared" si="0"/>
        <v>20</v>
      </c>
      <c r="B21" s="4" t="s">
        <v>25</v>
      </c>
    </row>
    <row r="22" spans="1:2" x14ac:dyDescent="0.3">
      <c r="A22" s="3">
        <f t="shared" si="0"/>
        <v>21</v>
      </c>
      <c r="B22" s="3" t="s">
        <v>26</v>
      </c>
    </row>
    <row r="23" spans="1:2" ht="28.8" x14ac:dyDescent="0.3">
      <c r="A23" s="3">
        <f t="shared" si="0"/>
        <v>22</v>
      </c>
      <c r="B23" s="4" t="s">
        <v>11</v>
      </c>
    </row>
    <row r="24" spans="1:2" x14ac:dyDescent="0.3">
      <c r="A24" s="3">
        <f t="shared" si="0"/>
        <v>23</v>
      </c>
      <c r="B24" s="9" t="s">
        <v>12</v>
      </c>
    </row>
    <row r="25" spans="1:2" x14ac:dyDescent="0.3">
      <c r="A25" s="3">
        <f t="shared" si="0"/>
        <v>24</v>
      </c>
      <c r="B25" s="3" t="s">
        <v>31</v>
      </c>
    </row>
    <row r="26" spans="1:2" ht="28.8" x14ac:dyDescent="0.3">
      <c r="A26" s="3">
        <f t="shared" si="0"/>
        <v>25</v>
      </c>
      <c r="B26" s="4" t="s">
        <v>35</v>
      </c>
    </row>
    <row r="27" spans="1:2" x14ac:dyDescent="0.3">
      <c r="A27" s="3">
        <f t="shared" si="0"/>
        <v>26</v>
      </c>
      <c r="B27" s="4" t="s">
        <v>36</v>
      </c>
    </row>
    <row r="28" spans="1:2" x14ac:dyDescent="0.3">
      <c r="A28" s="3">
        <f t="shared" si="0"/>
        <v>27</v>
      </c>
      <c r="B28" s="3" t="s">
        <v>37</v>
      </c>
    </row>
    <row r="29" spans="1:2" x14ac:dyDescent="0.3">
      <c r="A29" s="3">
        <f t="shared" si="0"/>
        <v>28</v>
      </c>
      <c r="B29" s="3" t="s">
        <v>13</v>
      </c>
    </row>
    <row r="30" spans="1:2" x14ac:dyDescent="0.3">
      <c r="A30" s="3">
        <f t="shared" si="0"/>
        <v>29</v>
      </c>
      <c r="B30" s="3" t="s">
        <v>14</v>
      </c>
    </row>
    <row r="31" spans="1:2" x14ac:dyDescent="0.3">
      <c r="A31" s="3">
        <f t="shared" si="0"/>
        <v>30</v>
      </c>
      <c r="B31" s="3" t="s">
        <v>15</v>
      </c>
    </row>
    <row r="32" spans="1:2" x14ac:dyDescent="0.3">
      <c r="A32" s="3">
        <f t="shared" si="0"/>
        <v>31</v>
      </c>
      <c r="B32" s="3" t="s">
        <v>18</v>
      </c>
    </row>
    <row r="33" spans="1:2" x14ac:dyDescent="0.3">
      <c r="A33" s="3">
        <f t="shared" si="0"/>
        <v>32</v>
      </c>
      <c r="B33" s="3" t="s">
        <v>19</v>
      </c>
    </row>
    <row r="34" spans="1:2" x14ac:dyDescent="0.3">
      <c r="A34" s="3">
        <f t="shared" si="0"/>
        <v>33</v>
      </c>
      <c r="B34" s="3" t="s">
        <v>20</v>
      </c>
    </row>
    <row r="35" spans="1:2" x14ac:dyDescent="0.3">
      <c r="A35" s="3">
        <f t="shared" si="0"/>
        <v>34</v>
      </c>
      <c r="B35" s="3" t="s">
        <v>21</v>
      </c>
    </row>
    <row r="36" spans="1:2" x14ac:dyDescent="0.3">
      <c r="A36" s="3">
        <f t="shared" si="0"/>
        <v>35</v>
      </c>
      <c r="B36" s="3" t="s">
        <v>22</v>
      </c>
    </row>
    <row r="37" spans="1:2" x14ac:dyDescent="0.3">
      <c r="A37" s="3">
        <f t="shared" si="0"/>
        <v>36</v>
      </c>
      <c r="B37" s="3" t="s">
        <v>24</v>
      </c>
    </row>
    <row r="38" spans="1:2" x14ac:dyDescent="0.3">
      <c r="A38" s="3">
        <f t="shared" si="0"/>
        <v>37</v>
      </c>
      <c r="B38" s="3" t="s">
        <v>23</v>
      </c>
    </row>
    <row r="39" spans="1:2" ht="28.8" x14ac:dyDescent="0.3">
      <c r="A39" s="3">
        <f t="shared" si="0"/>
        <v>38</v>
      </c>
      <c r="B39" s="4" t="s">
        <v>38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0C14-66C4-482F-B937-B58D84060147}">
  <dimension ref="A1:AT21"/>
  <sheetViews>
    <sheetView tabSelected="1" workbookViewId="0"/>
  </sheetViews>
  <sheetFormatPr defaultRowHeight="14.4" x14ac:dyDescent="0.3"/>
  <cols>
    <col min="1" max="1" width="3" bestFit="1" customWidth="1"/>
    <col min="2" max="2" width="21.6640625" bestFit="1" customWidth="1"/>
    <col min="3" max="3" width="20.88671875" bestFit="1" customWidth="1"/>
    <col min="4" max="5" width="24.5546875" bestFit="1" customWidth="1"/>
    <col min="6" max="6" width="12.88671875" bestFit="1" customWidth="1"/>
    <col min="7" max="7" width="25.6640625" bestFit="1" customWidth="1"/>
    <col min="8" max="8" width="33.21875" bestFit="1" customWidth="1"/>
    <col min="9" max="9" width="35.44140625" bestFit="1" customWidth="1"/>
    <col min="10" max="10" width="30" bestFit="1" customWidth="1"/>
    <col min="11" max="11" width="15.33203125" bestFit="1" customWidth="1"/>
    <col min="12" max="12" width="12.5546875" bestFit="1" customWidth="1"/>
    <col min="13" max="13" width="29.5546875" bestFit="1" customWidth="1"/>
    <col min="14" max="14" width="11.5546875" bestFit="1" customWidth="1"/>
    <col min="15" max="15" width="18.109375" bestFit="1" customWidth="1"/>
    <col min="16" max="16" width="14.88671875" bestFit="1" customWidth="1"/>
    <col min="17" max="17" width="27.5546875" bestFit="1" customWidth="1"/>
    <col min="18" max="18" width="26.77734375" bestFit="1" customWidth="1"/>
    <col min="19" max="19" width="21" bestFit="1" customWidth="1"/>
    <col min="20" max="20" width="28.5546875" bestFit="1" customWidth="1"/>
    <col min="21" max="21" width="33.44140625" bestFit="1" customWidth="1"/>
    <col min="22" max="22" width="34.88671875" bestFit="1" customWidth="1"/>
    <col min="23" max="23" width="34.6640625" bestFit="1" customWidth="1"/>
    <col min="24" max="24" width="16.77734375" bestFit="1" customWidth="1"/>
    <col min="25" max="25" width="21.5546875" bestFit="1" customWidth="1"/>
    <col min="26" max="26" width="19.6640625" bestFit="1" customWidth="1"/>
    <col min="27" max="27" width="22.6640625" bestFit="1" customWidth="1"/>
    <col min="28" max="28" width="26" bestFit="1" customWidth="1"/>
    <col min="29" max="29" width="19.88671875" bestFit="1" customWidth="1"/>
    <col min="30" max="30" width="20.88671875" bestFit="1" customWidth="1"/>
    <col min="31" max="31" width="21.33203125" bestFit="1" customWidth="1"/>
    <col min="32" max="32" width="24.33203125" bestFit="1" customWidth="1"/>
    <col min="33" max="34" width="22.6640625" bestFit="1" customWidth="1"/>
    <col min="35" max="35" width="16" bestFit="1" customWidth="1"/>
    <col min="36" max="36" width="20.88671875" bestFit="1" customWidth="1"/>
    <col min="37" max="37" width="19.6640625" bestFit="1" customWidth="1"/>
    <col min="38" max="38" width="29.109375" bestFit="1" customWidth="1"/>
    <col min="39" max="39" width="10.77734375" bestFit="1" customWidth="1"/>
    <col min="40" max="40" width="20.44140625" bestFit="1" customWidth="1"/>
    <col min="41" max="41" width="20" bestFit="1" customWidth="1"/>
    <col min="42" max="42" width="19" bestFit="1" customWidth="1"/>
    <col min="43" max="43" width="29.33203125" bestFit="1" customWidth="1"/>
    <col min="44" max="44" width="23.6640625" bestFit="1" customWidth="1"/>
    <col min="45" max="45" width="17.33203125" bestFit="1" customWidth="1"/>
    <col min="46" max="46" width="18.5546875" bestFit="1" customWidth="1"/>
  </cols>
  <sheetData>
    <row r="1" spans="1:46" x14ac:dyDescent="0.3">
      <c r="A1" s="7" t="s">
        <v>51</v>
      </c>
      <c r="B1" s="7" t="s">
        <v>16</v>
      </c>
      <c r="C1" s="7" t="s">
        <v>17</v>
      </c>
      <c r="D1" s="7" t="s">
        <v>195</v>
      </c>
      <c r="E1" s="7" t="s">
        <v>196</v>
      </c>
      <c r="F1" s="7" t="s">
        <v>197</v>
      </c>
      <c r="G1" s="7" t="s">
        <v>5</v>
      </c>
      <c r="H1" s="7" t="s">
        <v>192</v>
      </c>
      <c r="I1" s="7" t="s">
        <v>48</v>
      </c>
      <c r="J1" s="7" t="s">
        <v>6</v>
      </c>
      <c r="K1" s="7" t="s">
        <v>27</v>
      </c>
      <c r="L1" s="7" t="s">
        <v>28</v>
      </c>
      <c r="M1" s="7" t="s">
        <v>198</v>
      </c>
      <c r="N1" s="7" t="s">
        <v>30</v>
      </c>
      <c r="O1" s="7" t="s">
        <v>9</v>
      </c>
      <c r="P1" s="7" t="s">
        <v>7</v>
      </c>
      <c r="Q1" s="7" t="s">
        <v>10</v>
      </c>
      <c r="R1" s="7" t="s">
        <v>199</v>
      </c>
      <c r="S1" s="7" t="s">
        <v>49</v>
      </c>
      <c r="T1" s="7" t="s">
        <v>200</v>
      </c>
      <c r="U1" s="7" t="s">
        <v>201</v>
      </c>
      <c r="V1" s="7" t="s">
        <v>202</v>
      </c>
      <c r="W1" s="7" t="s">
        <v>203</v>
      </c>
      <c r="X1" s="7" t="s">
        <v>204</v>
      </c>
      <c r="Y1" s="7" t="s">
        <v>205</v>
      </c>
      <c r="Z1" s="7" t="s">
        <v>206</v>
      </c>
      <c r="AA1" s="7" t="s">
        <v>207</v>
      </c>
      <c r="AB1" s="7" t="s">
        <v>193</v>
      </c>
      <c r="AC1" s="7" t="s">
        <v>208</v>
      </c>
      <c r="AD1" s="7" t="s">
        <v>209</v>
      </c>
      <c r="AE1" s="7" t="s">
        <v>210</v>
      </c>
      <c r="AF1" s="7" t="s">
        <v>211</v>
      </c>
      <c r="AG1" s="7" t="s">
        <v>212</v>
      </c>
      <c r="AH1" s="7" t="s">
        <v>194</v>
      </c>
      <c r="AI1" s="7" t="s">
        <v>213</v>
      </c>
      <c r="AJ1" s="7" t="s">
        <v>15</v>
      </c>
      <c r="AK1" s="7" t="s">
        <v>214</v>
      </c>
      <c r="AL1" s="7" t="s">
        <v>19</v>
      </c>
      <c r="AM1" s="7" t="s">
        <v>215</v>
      </c>
      <c r="AN1" s="7" t="s">
        <v>216</v>
      </c>
      <c r="AO1" s="7" t="s">
        <v>22</v>
      </c>
      <c r="AP1" s="7" t="s">
        <v>24</v>
      </c>
      <c r="AQ1" s="7" t="s">
        <v>217</v>
      </c>
      <c r="AR1" s="7" t="s">
        <v>50</v>
      </c>
      <c r="AS1" s="7" t="s">
        <v>218</v>
      </c>
      <c r="AT1" s="7" t="s">
        <v>219</v>
      </c>
    </row>
    <row r="2" spans="1:46" x14ac:dyDescent="0.3">
      <c r="A2" s="5">
        <v>1</v>
      </c>
      <c r="B2" s="5" t="s">
        <v>52</v>
      </c>
      <c r="C2" s="5" t="s">
        <v>53</v>
      </c>
      <c r="D2" s="5">
        <v>25</v>
      </c>
      <c r="E2" s="5">
        <v>24.5</v>
      </c>
      <c r="F2" s="5">
        <v>5</v>
      </c>
      <c r="G2" s="5" t="s">
        <v>54</v>
      </c>
      <c r="H2" s="5" t="s">
        <v>182</v>
      </c>
      <c r="I2" s="6">
        <v>44941</v>
      </c>
      <c r="J2" s="5" t="s">
        <v>44</v>
      </c>
      <c r="K2" s="5" t="s">
        <v>54</v>
      </c>
      <c r="L2" s="5" t="s">
        <v>55</v>
      </c>
      <c r="M2" s="5">
        <v>26</v>
      </c>
      <c r="N2" s="5" t="s">
        <v>56</v>
      </c>
      <c r="O2" s="6">
        <v>44958</v>
      </c>
      <c r="P2" s="6">
        <v>44972</v>
      </c>
      <c r="Q2" s="6">
        <v>45518</v>
      </c>
      <c r="R2" s="5">
        <v>2.4500000000000002</v>
      </c>
      <c r="S2" s="6">
        <v>45900</v>
      </c>
      <c r="T2" s="5">
        <v>2</v>
      </c>
      <c r="U2" s="5">
        <v>1.2</v>
      </c>
      <c r="V2" s="5">
        <v>0.8</v>
      </c>
      <c r="W2" s="5" t="s">
        <v>57</v>
      </c>
      <c r="X2" s="5" t="s">
        <v>58</v>
      </c>
      <c r="Y2" s="5"/>
      <c r="Z2" s="5"/>
      <c r="AA2" s="5"/>
      <c r="AB2" s="5"/>
      <c r="AC2" s="5">
        <v>15</v>
      </c>
      <c r="AD2" s="5">
        <v>0.75</v>
      </c>
      <c r="AE2" s="5">
        <v>13</v>
      </c>
      <c r="AF2" s="5">
        <v>2</v>
      </c>
      <c r="AG2" s="5"/>
      <c r="AH2" s="5"/>
      <c r="AI2" s="8">
        <v>0.6</v>
      </c>
      <c r="AJ2" s="5" t="s">
        <v>220</v>
      </c>
      <c r="AK2" s="5">
        <v>0.1</v>
      </c>
      <c r="AL2" s="5" t="s">
        <v>47</v>
      </c>
      <c r="AM2" s="5" t="s">
        <v>59</v>
      </c>
      <c r="AN2" s="5">
        <v>0.8</v>
      </c>
      <c r="AO2" s="6">
        <v>45503</v>
      </c>
      <c r="AP2" s="5" t="s">
        <v>42</v>
      </c>
      <c r="AQ2" s="5">
        <v>2.4500000000000002</v>
      </c>
      <c r="AR2" s="6">
        <v>45900</v>
      </c>
      <c r="AS2" s="5" t="s">
        <v>221</v>
      </c>
      <c r="AT2" s="5">
        <v>5</v>
      </c>
    </row>
    <row r="3" spans="1:46" x14ac:dyDescent="0.3">
      <c r="A3" s="5">
        <v>2</v>
      </c>
      <c r="B3" s="5" t="s">
        <v>60</v>
      </c>
      <c r="C3" s="5" t="s">
        <v>61</v>
      </c>
      <c r="D3" s="5">
        <v>18</v>
      </c>
      <c r="E3" s="5">
        <v>17.2</v>
      </c>
      <c r="F3" s="5">
        <v>4</v>
      </c>
      <c r="G3" s="5" t="s">
        <v>62</v>
      </c>
      <c r="H3" s="5" t="s">
        <v>183</v>
      </c>
      <c r="I3" s="6">
        <v>44985</v>
      </c>
      <c r="J3" s="5" t="s">
        <v>42</v>
      </c>
      <c r="K3" s="5" t="s">
        <v>63</v>
      </c>
      <c r="L3" s="5" t="s">
        <v>64</v>
      </c>
      <c r="M3" s="5">
        <v>18.5</v>
      </c>
      <c r="N3" s="5" t="s">
        <v>65</v>
      </c>
      <c r="O3" s="6">
        <v>44995</v>
      </c>
      <c r="P3" s="6">
        <v>45010</v>
      </c>
      <c r="Q3" s="6">
        <v>45375</v>
      </c>
      <c r="R3" s="5">
        <v>1.72</v>
      </c>
      <c r="S3" s="6">
        <v>45747</v>
      </c>
      <c r="T3" s="5">
        <v>1.5</v>
      </c>
      <c r="U3" s="5">
        <v>1</v>
      </c>
      <c r="V3" s="5">
        <v>0.5</v>
      </c>
      <c r="W3" s="5" t="s">
        <v>57</v>
      </c>
      <c r="X3" s="5" t="s">
        <v>66</v>
      </c>
      <c r="Y3" s="5"/>
      <c r="Z3" s="5"/>
      <c r="AA3" s="5"/>
      <c r="AB3" s="5"/>
      <c r="AC3" s="5">
        <v>12.5</v>
      </c>
      <c r="AD3" s="5">
        <v>0.6</v>
      </c>
      <c r="AE3" s="5">
        <v>11</v>
      </c>
      <c r="AF3" s="5">
        <v>1.5</v>
      </c>
      <c r="AG3" s="5">
        <v>0.5</v>
      </c>
      <c r="AH3" s="5" t="s">
        <v>222</v>
      </c>
      <c r="AI3" s="8">
        <v>0.7</v>
      </c>
      <c r="AJ3" s="5" t="s">
        <v>223</v>
      </c>
      <c r="AK3" s="5"/>
      <c r="AL3" s="5" t="s">
        <v>47</v>
      </c>
      <c r="AM3" s="5" t="s">
        <v>67</v>
      </c>
      <c r="AN3" s="5">
        <v>0.6</v>
      </c>
      <c r="AO3" s="6">
        <v>45366</v>
      </c>
      <c r="AP3" s="5" t="s">
        <v>42</v>
      </c>
      <c r="AQ3" s="5">
        <v>1.72</v>
      </c>
      <c r="AR3" s="6">
        <v>45747</v>
      </c>
      <c r="AS3" s="5" t="s">
        <v>224</v>
      </c>
      <c r="AT3" s="5">
        <v>12.5</v>
      </c>
    </row>
    <row r="4" spans="1:46" x14ac:dyDescent="0.3">
      <c r="A4" s="5">
        <v>3</v>
      </c>
      <c r="B4" s="5" t="s">
        <v>68</v>
      </c>
      <c r="C4" s="5" t="s">
        <v>69</v>
      </c>
      <c r="D4" s="5">
        <v>40</v>
      </c>
      <c r="E4" s="5">
        <v>38.75</v>
      </c>
      <c r="F4" s="5">
        <v>6</v>
      </c>
      <c r="G4" s="5" t="s">
        <v>70</v>
      </c>
      <c r="H4" s="5" t="s">
        <v>184</v>
      </c>
      <c r="I4" s="6">
        <v>44931</v>
      </c>
      <c r="J4" s="5" t="s">
        <v>41</v>
      </c>
      <c r="K4" s="5" t="s">
        <v>54</v>
      </c>
      <c r="L4" s="5" t="s">
        <v>71</v>
      </c>
      <c r="M4" s="5">
        <v>42</v>
      </c>
      <c r="N4" s="5" t="s">
        <v>72</v>
      </c>
      <c r="O4" s="6">
        <v>44931</v>
      </c>
      <c r="P4" s="6">
        <v>44946</v>
      </c>
      <c r="Q4" s="6">
        <v>45676</v>
      </c>
      <c r="R4" s="5">
        <v>3.88</v>
      </c>
      <c r="S4" s="6">
        <v>46053</v>
      </c>
      <c r="T4" s="5">
        <v>3</v>
      </c>
      <c r="U4" s="5">
        <v>1.5</v>
      </c>
      <c r="V4" s="5">
        <v>1.5</v>
      </c>
      <c r="W4" s="5" t="s">
        <v>57</v>
      </c>
      <c r="X4" s="5" t="s">
        <v>58</v>
      </c>
      <c r="Y4" s="5" t="s">
        <v>225</v>
      </c>
      <c r="Z4" s="6">
        <v>45838</v>
      </c>
      <c r="AA4" s="5">
        <v>41</v>
      </c>
      <c r="AB4" s="5" t="s">
        <v>225</v>
      </c>
      <c r="AC4" s="5">
        <v>20</v>
      </c>
      <c r="AD4" s="5">
        <v>1.2</v>
      </c>
      <c r="AE4" s="5">
        <v>18</v>
      </c>
      <c r="AF4" s="5">
        <v>2</v>
      </c>
      <c r="AG4" s="5">
        <v>1.25</v>
      </c>
      <c r="AH4" s="5" t="s">
        <v>226</v>
      </c>
      <c r="AI4" s="8">
        <v>0.52</v>
      </c>
      <c r="AJ4" s="5" t="s">
        <v>227</v>
      </c>
      <c r="AK4" s="5">
        <v>0.25</v>
      </c>
      <c r="AL4" s="5" t="s">
        <v>47</v>
      </c>
      <c r="AM4" s="5" t="s">
        <v>74</v>
      </c>
      <c r="AN4" s="5">
        <v>1.2</v>
      </c>
      <c r="AO4" s="6">
        <v>45838</v>
      </c>
      <c r="AP4" s="5" t="s">
        <v>41</v>
      </c>
      <c r="AQ4" s="5">
        <v>3.88</v>
      </c>
      <c r="AR4" s="6">
        <v>46053</v>
      </c>
      <c r="AS4" s="5" t="s">
        <v>228</v>
      </c>
      <c r="AT4" s="5">
        <v>20</v>
      </c>
    </row>
    <row r="5" spans="1:46" x14ac:dyDescent="0.3">
      <c r="A5" s="5">
        <v>4</v>
      </c>
      <c r="B5" s="5" t="s">
        <v>75</v>
      </c>
      <c r="C5" s="5" t="s">
        <v>76</v>
      </c>
      <c r="D5" s="5">
        <v>12</v>
      </c>
      <c r="E5" s="5">
        <v>11.5</v>
      </c>
      <c r="F5" s="5">
        <v>3</v>
      </c>
      <c r="G5" s="5" t="s">
        <v>229</v>
      </c>
      <c r="H5" s="5" t="s">
        <v>185</v>
      </c>
      <c r="I5" s="6">
        <v>45005</v>
      </c>
      <c r="J5" s="5" t="s">
        <v>40</v>
      </c>
      <c r="K5" s="5" t="s">
        <v>77</v>
      </c>
      <c r="L5" s="5" t="s">
        <v>78</v>
      </c>
      <c r="M5" s="5">
        <v>12.5</v>
      </c>
      <c r="N5" s="5" t="s">
        <v>79</v>
      </c>
      <c r="O5" s="6">
        <v>45017</v>
      </c>
      <c r="P5" s="6">
        <v>45036</v>
      </c>
      <c r="Q5" s="6">
        <v>45492</v>
      </c>
      <c r="R5" s="5">
        <v>1.1499999999999999</v>
      </c>
      <c r="S5" s="6">
        <v>45869</v>
      </c>
      <c r="T5" s="5">
        <v>1</v>
      </c>
      <c r="U5" s="5">
        <v>0.7</v>
      </c>
      <c r="V5" s="5">
        <v>0.3</v>
      </c>
      <c r="W5" s="5" t="s">
        <v>57</v>
      </c>
      <c r="X5" s="5" t="s">
        <v>58</v>
      </c>
      <c r="Y5" s="5"/>
      <c r="Z5" s="5"/>
      <c r="AA5" s="5"/>
      <c r="AB5" s="5"/>
      <c r="AC5" s="5">
        <v>8</v>
      </c>
      <c r="AD5" s="5">
        <v>0.4</v>
      </c>
      <c r="AE5" s="5">
        <v>7</v>
      </c>
      <c r="AF5" s="5">
        <v>1</v>
      </c>
      <c r="AG5" s="5"/>
      <c r="AH5" s="5"/>
      <c r="AI5" s="8">
        <v>0.65</v>
      </c>
      <c r="AJ5" s="5" t="s">
        <v>230</v>
      </c>
      <c r="AK5" s="5"/>
      <c r="AL5" s="5" t="s">
        <v>47</v>
      </c>
      <c r="AM5" s="5" t="s">
        <v>80</v>
      </c>
      <c r="AN5" s="5">
        <v>0.45</v>
      </c>
      <c r="AO5" s="6">
        <v>45488</v>
      </c>
      <c r="AP5" s="5" t="s">
        <v>42</v>
      </c>
      <c r="AQ5" s="5">
        <v>1.1499999999999999</v>
      </c>
      <c r="AR5" s="6">
        <v>45869</v>
      </c>
      <c r="AS5" s="5" t="s">
        <v>231</v>
      </c>
      <c r="AT5" s="5">
        <v>8</v>
      </c>
    </row>
    <row r="6" spans="1:46" x14ac:dyDescent="0.3">
      <c r="A6" s="5">
        <v>5</v>
      </c>
      <c r="B6" s="5" t="s">
        <v>81</v>
      </c>
      <c r="C6" s="5" t="s">
        <v>232</v>
      </c>
      <c r="D6" s="5">
        <v>9</v>
      </c>
      <c r="E6" s="5">
        <v>8.75</v>
      </c>
      <c r="F6" s="5">
        <v>4</v>
      </c>
      <c r="G6" s="5" t="s">
        <v>62</v>
      </c>
      <c r="H6" s="5" t="s">
        <v>186</v>
      </c>
      <c r="I6" s="6">
        <v>45026</v>
      </c>
      <c r="J6" s="5" t="s">
        <v>45</v>
      </c>
      <c r="K6" s="5" t="s">
        <v>82</v>
      </c>
      <c r="L6" s="5" t="s">
        <v>83</v>
      </c>
      <c r="M6" s="5">
        <v>9.5</v>
      </c>
      <c r="N6" s="5" t="s">
        <v>84</v>
      </c>
      <c r="O6" s="6">
        <v>45058</v>
      </c>
      <c r="P6" s="6">
        <v>45078</v>
      </c>
      <c r="Q6" s="6">
        <v>45382</v>
      </c>
      <c r="R6" s="5">
        <v>0.88</v>
      </c>
      <c r="S6" s="6">
        <v>45747</v>
      </c>
      <c r="T6" s="5">
        <v>0.7</v>
      </c>
      <c r="U6" s="5">
        <v>0.5</v>
      </c>
      <c r="V6" s="5">
        <v>0.2</v>
      </c>
      <c r="W6" s="5" t="s">
        <v>57</v>
      </c>
      <c r="X6" s="5" t="s">
        <v>58</v>
      </c>
      <c r="Y6" s="5"/>
      <c r="Z6" s="5"/>
      <c r="AA6" s="5"/>
      <c r="AB6" s="5"/>
      <c r="AC6" s="5">
        <v>6</v>
      </c>
      <c r="AD6" s="5">
        <v>0.3</v>
      </c>
      <c r="AE6" s="5">
        <v>5.5</v>
      </c>
      <c r="AF6" s="5">
        <v>0.5</v>
      </c>
      <c r="AG6" s="5"/>
      <c r="AH6" s="5"/>
      <c r="AI6" s="8">
        <v>0.68</v>
      </c>
      <c r="AJ6" s="5" t="s">
        <v>233</v>
      </c>
      <c r="AK6" s="5"/>
      <c r="AL6" s="5" t="s">
        <v>47</v>
      </c>
      <c r="AM6" s="5" t="s">
        <v>85</v>
      </c>
      <c r="AN6" s="5">
        <v>0.3</v>
      </c>
      <c r="AO6" s="6">
        <v>45376</v>
      </c>
      <c r="AP6" s="5" t="s">
        <v>42</v>
      </c>
      <c r="AQ6" s="5">
        <v>0.88</v>
      </c>
      <c r="AR6" s="6">
        <v>45747</v>
      </c>
      <c r="AS6" s="5" t="s">
        <v>234</v>
      </c>
      <c r="AT6" s="5">
        <v>6</v>
      </c>
    </row>
    <row r="7" spans="1:46" x14ac:dyDescent="0.3">
      <c r="A7" s="5">
        <v>6</v>
      </c>
      <c r="B7" s="5" t="s">
        <v>86</v>
      </c>
      <c r="C7" s="5" t="s">
        <v>87</v>
      </c>
      <c r="D7" s="5">
        <v>6.5</v>
      </c>
      <c r="E7" s="5">
        <v>6.2</v>
      </c>
      <c r="F7" s="5">
        <v>3</v>
      </c>
      <c r="G7" s="5" t="s">
        <v>88</v>
      </c>
      <c r="H7" s="5" t="s">
        <v>187</v>
      </c>
      <c r="I7" s="6">
        <v>45095</v>
      </c>
      <c r="J7" s="5" t="s">
        <v>42</v>
      </c>
      <c r="K7" s="5" t="s">
        <v>89</v>
      </c>
      <c r="L7" s="5" t="s">
        <v>90</v>
      </c>
      <c r="M7" s="5">
        <v>7</v>
      </c>
      <c r="N7" s="5" t="s">
        <v>91</v>
      </c>
      <c r="O7" s="6">
        <v>45095</v>
      </c>
      <c r="P7" s="6">
        <v>45108</v>
      </c>
      <c r="Q7" s="6">
        <v>45473</v>
      </c>
      <c r="R7" s="5">
        <v>0.62</v>
      </c>
      <c r="S7" s="6">
        <v>45838</v>
      </c>
      <c r="T7" s="5">
        <v>0.5</v>
      </c>
      <c r="U7" s="5">
        <v>0.3</v>
      </c>
      <c r="V7" s="5">
        <v>0.2</v>
      </c>
      <c r="W7" s="5" t="s">
        <v>57</v>
      </c>
      <c r="X7" s="5" t="s">
        <v>58</v>
      </c>
      <c r="Y7" s="5"/>
      <c r="Z7" s="5"/>
      <c r="AA7" s="5"/>
      <c r="AB7" s="5"/>
      <c r="AC7" s="5">
        <v>4.2</v>
      </c>
      <c r="AD7" s="5">
        <v>0.2</v>
      </c>
      <c r="AE7" s="5">
        <v>3.8</v>
      </c>
      <c r="AF7" s="5">
        <v>0.4</v>
      </c>
      <c r="AG7" s="5"/>
      <c r="AH7" s="5"/>
      <c r="AI7" s="8">
        <v>0.67</v>
      </c>
      <c r="AJ7" s="5" t="s">
        <v>235</v>
      </c>
      <c r="AK7" s="5"/>
      <c r="AL7" s="5" t="s">
        <v>47</v>
      </c>
      <c r="AM7" s="5" t="s">
        <v>92</v>
      </c>
      <c r="AN7" s="5">
        <v>0.25</v>
      </c>
      <c r="AO7" s="6">
        <v>45463</v>
      </c>
      <c r="AP7" s="5" t="s">
        <v>42</v>
      </c>
      <c r="AQ7" s="5">
        <v>0.62</v>
      </c>
      <c r="AR7" s="6">
        <v>45838</v>
      </c>
      <c r="AS7" s="5" t="s">
        <v>236</v>
      </c>
      <c r="AT7" s="5">
        <v>4.2</v>
      </c>
    </row>
    <row r="8" spans="1:46" x14ac:dyDescent="0.3">
      <c r="A8" s="5">
        <v>7</v>
      </c>
      <c r="B8" s="5" t="s">
        <v>93</v>
      </c>
      <c r="C8" s="5" t="s">
        <v>94</v>
      </c>
      <c r="D8" s="5">
        <v>5</v>
      </c>
      <c r="E8" s="5">
        <v>4.8</v>
      </c>
      <c r="F8" s="5">
        <v>4</v>
      </c>
      <c r="G8" s="5" t="s">
        <v>95</v>
      </c>
      <c r="H8" s="5" t="s">
        <v>188</v>
      </c>
      <c r="I8" s="6">
        <v>45112</v>
      </c>
      <c r="J8" s="5" t="s">
        <v>96</v>
      </c>
      <c r="K8" s="5" t="s">
        <v>95</v>
      </c>
      <c r="L8" s="5" t="s">
        <v>97</v>
      </c>
      <c r="M8" s="5">
        <v>5.2</v>
      </c>
      <c r="N8" s="5" t="s">
        <v>98</v>
      </c>
      <c r="O8" s="6">
        <v>45112</v>
      </c>
      <c r="P8" s="6">
        <v>45127</v>
      </c>
      <c r="Q8" s="6">
        <v>45401</v>
      </c>
      <c r="R8" s="5">
        <v>0.48</v>
      </c>
      <c r="S8" s="6">
        <v>45777</v>
      </c>
      <c r="T8" s="5">
        <v>0.4</v>
      </c>
      <c r="U8" s="5">
        <v>0.3</v>
      </c>
      <c r="V8" s="5">
        <v>0.1</v>
      </c>
      <c r="W8" s="5" t="s">
        <v>57</v>
      </c>
      <c r="X8" s="5" t="s">
        <v>237</v>
      </c>
      <c r="Y8" s="5"/>
      <c r="Z8" s="5"/>
      <c r="AA8" s="5"/>
      <c r="AB8" s="5"/>
      <c r="AC8" s="5">
        <v>4</v>
      </c>
      <c r="AD8" s="5">
        <v>0.2</v>
      </c>
      <c r="AE8" s="5">
        <v>3.6</v>
      </c>
      <c r="AF8" s="5">
        <v>0.4</v>
      </c>
      <c r="AG8" s="5"/>
      <c r="AH8" s="5"/>
      <c r="AI8" s="8">
        <v>0.83</v>
      </c>
      <c r="AJ8" s="5" t="s">
        <v>238</v>
      </c>
      <c r="AK8" s="5"/>
      <c r="AL8" s="5" t="s">
        <v>47</v>
      </c>
      <c r="AM8" s="5" t="s">
        <v>99</v>
      </c>
      <c r="AN8" s="5">
        <v>0.2</v>
      </c>
      <c r="AO8" s="6">
        <v>45397</v>
      </c>
      <c r="AP8" s="5" t="s">
        <v>42</v>
      </c>
      <c r="AQ8" s="5">
        <v>0.48</v>
      </c>
      <c r="AR8" s="6">
        <v>45777</v>
      </c>
      <c r="AS8" s="5" t="s">
        <v>239</v>
      </c>
      <c r="AT8" s="5">
        <v>4</v>
      </c>
    </row>
    <row r="9" spans="1:46" x14ac:dyDescent="0.3">
      <c r="A9" s="5">
        <v>8</v>
      </c>
      <c r="B9" s="5" t="s">
        <v>100</v>
      </c>
      <c r="C9" s="5" t="s">
        <v>101</v>
      </c>
      <c r="D9" s="5">
        <v>3.5</v>
      </c>
      <c r="E9" s="5">
        <v>3.3</v>
      </c>
      <c r="F9" s="5">
        <v>4</v>
      </c>
      <c r="G9" s="5" t="s">
        <v>62</v>
      </c>
      <c r="H9" s="5" t="s">
        <v>189</v>
      </c>
      <c r="I9" s="6">
        <v>45148</v>
      </c>
      <c r="J9" s="5" t="s">
        <v>73</v>
      </c>
      <c r="K9" s="5" t="s">
        <v>102</v>
      </c>
      <c r="L9" s="5" t="s">
        <v>103</v>
      </c>
      <c r="M9" s="5">
        <v>3.8</v>
      </c>
      <c r="N9" s="5" t="s">
        <v>104</v>
      </c>
      <c r="O9" s="6">
        <v>45148</v>
      </c>
      <c r="P9" s="6">
        <v>45163</v>
      </c>
      <c r="Q9" s="6">
        <v>45346</v>
      </c>
      <c r="R9" s="5">
        <v>0.33</v>
      </c>
      <c r="S9" s="6">
        <v>45716</v>
      </c>
      <c r="T9" s="5">
        <v>0.25</v>
      </c>
      <c r="U9" s="5">
        <v>0.2</v>
      </c>
      <c r="V9" s="5">
        <v>0.05</v>
      </c>
      <c r="W9" s="5" t="s">
        <v>57</v>
      </c>
      <c r="X9" s="5" t="s">
        <v>240</v>
      </c>
      <c r="Y9" s="5"/>
      <c r="Z9" s="5"/>
      <c r="AA9" s="5"/>
      <c r="AB9" s="5"/>
      <c r="AC9" s="5">
        <v>3</v>
      </c>
      <c r="AD9" s="5">
        <v>0.1</v>
      </c>
      <c r="AE9" s="5">
        <v>2.7</v>
      </c>
      <c r="AF9" s="5">
        <v>0.3</v>
      </c>
      <c r="AG9" s="5"/>
      <c r="AH9" s="5"/>
      <c r="AI9" s="8">
        <v>0.9</v>
      </c>
      <c r="AJ9" s="5" t="s">
        <v>241</v>
      </c>
      <c r="AK9" s="5"/>
      <c r="AL9" s="5" t="s">
        <v>47</v>
      </c>
      <c r="AM9" s="5" t="s">
        <v>105</v>
      </c>
      <c r="AN9" s="5">
        <v>0.15</v>
      </c>
      <c r="AO9" s="6">
        <v>45342</v>
      </c>
      <c r="AP9" s="5" t="s">
        <v>42</v>
      </c>
      <c r="AQ9" s="5">
        <v>0.33</v>
      </c>
      <c r="AR9" s="6">
        <v>45716</v>
      </c>
      <c r="AS9" s="5" t="s">
        <v>242</v>
      </c>
      <c r="AT9" s="5">
        <v>3</v>
      </c>
    </row>
    <row r="10" spans="1:46" x14ac:dyDescent="0.3">
      <c r="A10" s="5">
        <v>9</v>
      </c>
      <c r="B10" s="5" t="s">
        <v>106</v>
      </c>
      <c r="C10" s="5" t="s">
        <v>107</v>
      </c>
      <c r="D10" s="5">
        <v>55</v>
      </c>
      <c r="E10" s="5">
        <v>53.5</v>
      </c>
      <c r="F10" s="5">
        <v>6</v>
      </c>
      <c r="G10" s="5" t="s">
        <v>70</v>
      </c>
      <c r="H10" s="5" t="s">
        <v>190</v>
      </c>
      <c r="I10" s="6">
        <v>45170</v>
      </c>
      <c r="J10" s="5" t="s">
        <v>108</v>
      </c>
      <c r="K10" s="5" t="s">
        <v>63</v>
      </c>
      <c r="L10" s="5" t="s">
        <v>109</v>
      </c>
      <c r="M10" s="5">
        <v>56</v>
      </c>
      <c r="N10" s="5" t="s">
        <v>110</v>
      </c>
      <c r="O10" s="6">
        <v>45170</v>
      </c>
      <c r="P10" s="6">
        <v>45189</v>
      </c>
      <c r="Q10" s="6">
        <v>46100</v>
      </c>
      <c r="R10" s="5">
        <v>5.35</v>
      </c>
      <c r="S10" s="6">
        <v>46477</v>
      </c>
      <c r="T10" s="5">
        <v>5</v>
      </c>
      <c r="U10" s="5">
        <v>2</v>
      </c>
      <c r="V10" s="5">
        <v>3</v>
      </c>
      <c r="W10" s="5" t="s">
        <v>57</v>
      </c>
      <c r="X10" s="5" t="s">
        <v>58</v>
      </c>
      <c r="Y10" s="5"/>
      <c r="Z10" s="5"/>
      <c r="AA10" s="5"/>
      <c r="AB10" s="5"/>
      <c r="AC10" s="5">
        <v>18</v>
      </c>
      <c r="AD10" s="5">
        <v>1.5</v>
      </c>
      <c r="AE10" s="5">
        <v>16</v>
      </c>
      <c r="AF10" s="5">
        <v>2</v>
      </c>
      <c r="AG10" s="5">
        <v>2</v>
      </c>
      <c r="AH10" s="5" t="s">
        <v>243</v>
      </c>
      <c r="AI10" s="8">
        <v>0.34</v>
      </c>
      <c r="AJ10" s="5" t="s">
        <v>111</v>
      </c>
      <c r="AK10" s="5"/>
      <c r="AL10" s="5" t="s">
        <v>47</v>
      </c>
      <c r="AM10" s="5" t="s">
        <v>112</v>
      </c>
      <c r="AN10" s="5">
        <v>1.8</v>
      </c>
      <c r="AO10" s="6">
        <v>46112</v>
      </c>
      <c r="AP10" s="5" t="s">
        <v>41</v>
      </c>
      <c r="AQ10" s="5">
        <v>5.35</v>
      </c>
      <c r="AR10" s="6">
        <v>46477</v>
      </c>
      <c r="AS10" s="5" t="s">
        <v>244</v>
      </c>
      <c r="AT10" s="5">
        <v>18</v>
      </c>
    </row>
    <row r="11" spans="1:46" x14ac:dyDescent="0.3">
      <c r="A11" s="5">
        <v>10</v>
      </c>
      <c r="B11" s="5" t="s">
        <v>113</v>
      </c>
      <c r="C11" s="5" t="s">
        <v>114</v>
      </c>
      <c r="D11" s="5">
        <v>22</v>
      </c>
      <c r="E11" s="5">
        <v>21.4</v>
      </c>
      <c r="F11" s="5">
        <v>5</v>
      </c>
      <c r="G11" s="5" t="s">
        <v>115</v>
      </c>
      <c r="H11" s="5" t="s">
        <v>191</v>
      </c>
      <c r="I11" s="6">
        <v>45184</v>
      </c>
      <c r="J11" s="5" t="s">
        <v>116</v>
      </c>
      <c r="K11" s="5" t="s">
        <v>117</v>
      </c>
      <c r="L11" s="5" t="s">
        <v>118</v>
      </c>
      <c r="M11" s="5">
        <v>23</v>
      </c>
      <c r="N11" s="5" t="s">
        <v>119</v>
      </c>
      <c r="O11" s="6">
        <v>45184</v>
      </c>
      <c r="P11" s="6">
        <v>45200</v>
      </c>
      <c r="Q11" s="6">
        <v>45808</v>
      </c>
      <c r="R11" s="5">
        <v>2.14</v>
      </c>
      <c r="S11" s="6">
        <v>46173</v>
      </c>
      <c r="T11" s="5">
        <v>1.8</v>
      </c>
      <c r="U11" s="5">
        <v>0.9</v>
      </c>
      <c r="V11" s="5">
        <v>0.9</v>
      </c>
      <c r="W11" s="5" t="s">
        <v>57</v>
      </c>
      <c r="X11" s="5" t="s">
        <v>58</v>
      </c>
      <c r="Y11" s="5"/>
      <c r="Z11" s="5"/>
      <c r="AA11" s="5"/>
      <c r="AB11" s="5"/>
      <c r="AC11" s="5">
        <v>10.5</v>
      </c>
      <c r="AD11" s="5">
        <v>0.7</v>
      </c>
      <c r="AE11" s="5">
        <v>9.5</v>
      </c>
      <c r="AF11" s="5">
        <v>1</v>
      </c>
      <c r="AG11" s="5"/>
      <c r="AH11" s="5"/>
      <c r="AI11" s="8">
        <v>0.49</v>
      </c>
      <c r="AJ11" s="5" t="s">
        <v>245</v>
      </c>
      <c r="AK11" s="5"/>
      <c r="AL11" s="5" t="s">
        <v>47</v>
      </c>
      <c r="AM11" s="5" t="s">
        <v>120</v>
      </c>
      <c r="AN11" s="5">
        <v>0.9</v>
      </c>
      <c r="AO11" s="6">
        <v>45792</v>
      </c>
      <c r="AP11" s="5" t="s">
        <v>42</v>
      </c>
      <c r="AQ11" s="5">
        <v>2.14</v>
      </c>
      <c r="AR11" s="6">
        <v>46173</v>
      </c>
      <c r="AS11" s="5" t="s">
        <v>246</v>
      </c>
      <c r="AT11" s="5">
        <v>10.5</v>
      </c>
    </row>
    <row r="12" spans="1:46" x14ac:dyDescent="0.3">
      <c r="A12" s="5">
        <v>11</v>
      </c>
      <c r="B12" s="5" t="s">
        <v>121</v>
      </c>
      <c r="C12" s="5" t="s">
        <v>122</v>
      </c>
      <c r="D12" s="5">
        <v>16</v>
      </c>
      <c r="E12" s="5">
        <v>15.25</v>
      </c>
      <c r="F12" s="5">
        <v>4</v>
      </c>
      <c r="G12" s="5" t="s">
        <v>123</v>
      </c>
      <c r="H12" s="5" t="s">
        <v>247</v>
      </c>
      <c r="I12" s="6">
        <v>45204</v>
      </c>
      <c r="J12" s="5" t="s">
        <v>44</v>
      </c>
      <c r="K12" s="5" t="s">
        <v>123</v>
      </c>
      <c r="L12" s="5" t="s">
        <v>124</v>
      </c>
      <c r="M12" s="5">
        <v>16.8</v>
      </c>
      <c r="N12" s="5" t="s">
        <v>125</v>
      </c>
      <c r="O12" s="6">
        <v>45204</v>
      </c>
      <c r="P12" s="6">
        <v>45219</v>
      </c>
      <c r="Q12" s="6">
        <v>45766</v>
      </c>
      <c r="R12" s="5">
        <v>1.53</v>
      </c>
      <c r="S12" s="6">
        <v>46142</v>
      </c>
      <c r="T12" s="5">
        <v>1.2</v>
      </c>
      <c r="U12" s="5">
        <v>0.6</v>
      </c>
      <c r="V12" s="5">
        <v>0.6</v>
      </c>
      <c r="W12" s="5" t="s">
        <v>57</v>
      </c>
      <c r="X12" s="5" t="s">
        <v>58</v>
      </c>
      <c r="Y12" s="5"/>
      <c r="Z12" s="5"/>
      <c r="AA12" s="5"/>
      <c r="AB12" s="5"/>
      <c r="AC12" s="5">
        <v>7.8</v>
      </c>
      <c r="AD12" s="5">
        <v>0.5</v>
      </c>
      <c r="AE12" s="5">
        <v>7</v>
      </c>
      <c r="AF12" s="5">
        <v>0.8</v>
      </c>
      <c r="AG12" s="5"/>
      <c r="AH12" s="5"/>
      <c r="AI12" s="8">
        <v>0.51</v>
      </c>
      <c r="AJ12" s="5" t="s">
        <v>248</v>
      </c>
      <c r="AK12" s="5"/>
      <c r="AL12" s="5" t="s">
        <v>47</v>
      </c>
      <c r="AM12" s="5" t="s">
        <v>126</v>
      </c>
      <c r="AN12" s="5">
        <v>0.55000000000000004</v>
      </c>
      <c r="AO12" s="6">
        <v>45757</v>
      </c>
      <c r="AP12" s="5" t="s">
        <v>42</v>
      </c>
      <c r="AQ12" s="5">
        <v>1.53</v>
      </c>
      <c r="AR12" s="6">
        <v>46142</v>
      </c>
      <c r="AS12" s="5" t="s">
        <v>249</v>
      </c>
      <c r="AT12" s="5">
        <v>7.8</v>
      </c>
    </row>
    <row r="13" spans="1:46" x14ac:dyDescent="0.3">
      <c r="A13" s="5">
        <v>12</v>
      </c>
      <c r="B13" s="5" t="s">
        <v>127</v>
      </c>
      <c r="C13" s="5" t="s">
        <v>128</v>
      </c>
      <c r="D13" s="5">
        <v>2.8</v>
      </c>
      <c r="E13" s="5">
        <v>2.65</v>
      </c>
      <c r="F13" s="5">
        <v>3</v>
      </c>
      <c r="G13" s="5" t="s">
        <v>62</v>
      </c>
      <c r="H13" s="5" t="s">
        <v>250</v>
      </c>
      <c r="I13" s="6">
        <v>45231</v>
      </c>
      <c r="J13" s="5" t="s">
        <v>129</v>
      </c>
      <c r="K13" s="5" t="s">
        <v>130</v>
      </c>
      <c r="L13" s="5" t="s">
        <v>131</v>
      </c>
      <c r="M13" s="5">
        <v>3</v>
      </c>
      <c r="N13" s="5" t="s">
        <v>132</v>
      </c>
      <c r="O13" s="6">
        <v>45231</v>
      </c>
      <c r="P13" s="6">
        <v>45245</v>
      </c>
      <c r="Q13" s="6">
        <v>45396</v>
      </c>
      <c r="R13" s="5">
        <v>0.27</v>
      </c>
      <c r="S13" s="6">
        <v>45777</v>
      </c>
      <c r="T13" s="5">
        <v>0.2</v>
      </c>
      <c r="U13" s="5">
        <v>0.15</v>
      </c>
      <c r="V13" s="5">
        <v>0.05</v>
      </c>
      <c r="W13" s="5" t="s">
        <v>57</v>
      </c>
      <c r="X13" s="5" t="s">
        <v>240</v>
      </c>
      <c r="Y13" s="5"/>
      <c r="Z13" s="5"/>
      <c r="AA13" s="5"/>
      <c r="AB13" s="5"/>
      <c r="AC13" s="5">
        <v>2.1</v>
      </c>
      <c r="AD13" s="5">
        <v>0.08</v>
      </c>
      <c r="AE13" s="5">
        <v>1.9</v>
      </c>
      <c r="AF13" s="5">
        <v>0.2</v>
      </c>
      <c r="AG13" s="5"/>
      <c r="AH13" s="5"/>
      <c r="AI13" s="8">
        <v>0.75</v>
      </c>
      <c r="AJ13" s="5" t="s">
        <v>251</v>
      </c>
      <c r="AK13" s="5"/>
      <c r="AL13" s="5" t="s">
        <v>47</v>
      </c>
      <c r="AM13" s="5" t="s">
        <v>133</v>
      </c>
      <c r="AN13" s="5">
        <v>0.12</v>
      </c>
      <c r="AO13" s="6">
        <v>45392</v>
      </c>
      <c r="AP13" s="5" t="s">
        <v>42</v>
      </c>
      <c r="AQ13" s="5">
        <v>0.27</v>
      </c>
      <c r="AR13" s="6">
        <v>45777</v>
      </c>
      <c r="AS13" s="5" t="s">
        <v>252</v>
      </c>
      <c r="AT13" s="5">
        <v>2.1</v>
      </c>
    </row>
    <row r="14" spans="1:46" x14ac:dyDescent="0.3">
      <c r="A14" s="5">
        <v>13</v>
      </c>
      <c r="B14" s="5" t="s">
        <v>134</v>
      </c>
      <c r="C14" s="5" t="s">
        <v>135</v>
      </c>
      <c r="D14" s="5">
        <v>7.5</v>
      </c>
      <c r="E14" s="5">
        <v>7.1</v>
      </c>
      <c r="F14" s="5">
        <v>5</v>
      </c>
      <c r="G14" s="5" t="s">
        <v>136</v>
      </c>
      <c r="H14" s="5" t="s">
        <v>253</v>
      </c>
      <c r="I14" s="6">
        <v>45250</v>
      </c>
      <c r="J14" s="5" t="s">
        <v>46</v>
      </c>
      <c r="K14" s="5" t="s">
        <v>137</v>
      </c>
      <c r="L14" s="5" t="s">
        <v>138</v>
      </c>
      <c r="M14" s="5">
        <v>7.8</v>
      </c>
      <c r="N14" s="5" t="s">
        <v>139</v>
      </c>
      <c r="O14" s="6">
        <v>45250</v>
      </c>
      <c r="P14" s="6">
        <v>45265</v>
      </c>
      <c r="Q14" s="6">
        <v>45508</v>
      </c>
      <c r="R14" s="5">
        <v>0.71</v>
      </c>
      <c r="S14" s="6">
        <v>45900</v>
      </c>
      <c r="T14" s="5">
        <v>0.6</v>
      </c>
      <c r="U14" s="5">
        <v>0.4</v>
      </c>
      <c r="V14" s="5">
        <v>0.2</v>
      </c>
      <c r="W14" s="5" t="s">
        <v>57</v>
      </c>
      <c r="X14" s="5" t="s">
        <v>58</v>
      </c>
      <c r="Y14" s="5"/>
      <c r="Z14" s="5"/>
      <c r="AA14" s="5"/>
      <c r="AB14" s="5"/>
      <c r="AC14" s="5">
        <v>4.9000000000000004</v>
      </c>
      <c r="AD14" s="5">
        <v>0.25</v>
      </c>
      <c r="AE14" s="5">
        <v>4.4000000000000004</v>
      </c>
      <c r="AF14" s="5">
        <v>0.5</v>
      </c>
      <c r="AG14" s="5"/>
      <c r="AH14" s="5"/>
      <c r="AI14" s="8">
        <v>0.69</v>
      </c>
      <c r="AJ14" s="5" t="s">
        <v>254</v>
      </c>
      <c r="AK14" s="5"/>
      <c r="AL14" s="5" t="s">
        <v>47</v>
      </c>
      <c r="AM14" s="5" t="s">
        <v>140</v>
      </c>
      <c r="AN14" s="5">
        <v>0.35</v>
      </c>
      <c r="AO14" s="6">
        <v>45505</v>
      </c>
      <c r="AP14" s="5" t="s">
        <v>42</v>
      </c>
      <c r="AQ14" s="5">
        <v>0.71</v>
      </c>
      <c r="AR14" s="6">
        <v>45900</v>
      </c>
      <c r="AS14" s="5" t="s">
        <v>255</v>
      </c>
      <c r="AT14" s="5">
        <v>4.9000000000000004</v>
      </c>
    </row>
    <row r="15" spans="1:46" x14ac:dyDescent="0.3">
      <c r="A15" s="5">
        <v>14</v>
      </c>
      <c r="B15" s="5" t="s">
        <v>141</v>
      </c>
      <c r="C15" s="5" t="s">
        <v>142</v>
      </c>
      <c r="D15" s="5">
        <v>11</v>
      </c>
      <c r="E15" s="5">
        <v>10.6</v>
      </c>
      <c r="F15" s="5">
        <v>4</v>
      </c>
      <c r="G15" s="5" t="s">
        <v>62</v>
      </c>
      <c r="H15" s="5" t="s">
        <v>256</v>
      </c>
      <c r="I15" s="6">
        <v>45261</v>
      </c>
      <c r="J15" s="5" t="s">
        <v>43</v>
      </c>
      <c r="K15" s="5" t="s">
        <v>82</v>
      </c>
      <c r="L15" s="5" t="s">
        <v>143</v>
      </c>
      <c r="M15" s="5">
        <v>11.5</v>
      </c>
      <c r="N15" s="5" t="s">
        <v>144</v>
      </c>
      <c r="O15" s="6">
        <v>45261</v>
      </c>
      <c r="P15" s="6">
        <v>45280</v>
      </c>
      <c r="Q15" s="6">
        <v>45707</v>
      </c>
      <c r="R15" s="5">
        <v>1.06</v>
      </c>
      <c r="S15" s="6">
        <v>46081</v>
      </c>
      <c r="T15" s="5">
        <v>0.9</v>
      </c>
      <c r="U15" s="5">
        <v>0.4</v>
      </c>
      <c r="V15" s="5">
        <v>0.5</v>
      </c>
      <c r="W15" s="5" t="s">
        <v>57</v>
      </c>
      <c r="X15" s="5" t="s">
        <v>58</v>
      </c>
      <c r="Y15" s="5"/>
      <c r="Z15" s="5"/>
      <c r="AA15" s="5"/>
      <c r="AB15" s="5"/>
      <c r="AC15" s="5">
        <v>5.5</v>
      </c>
      <c r="AD15" s="5">
        <v>0.3</v>
      </c>
      <c r="AE15" s="5">
        <v>5</v>
      </c>
      <c r="AF15" s="5">
        <v>0.5</v>
      </c>
      <c r="AG15" s="5"/>
      <c r="AH15" s="5"/>
      <c r="AI15" s="8">
        <v>0.52</v>
      </c>
      <c r="AJ15" s="5" t="s">
        <v>257</v>
      </c>
      <c r="AK15" s="5"/>
      <c r="AL15" s="5" t="s">
        <v>47</v>
      </c>
      <c r="AM15" s="5" t="s">
        <v>145</v>
      </c>
      <c r="AN15" s="5">
        <v>0.42</v>
      </c>
      <c r="AO15" s="6">
        <v>45698</v>
      </c>
      <c r="AP15" s="5" t="s">
        <v>42</v>
      </c>
      <c r="AQ15" s="5">
        <v>1.06</v>
      </c>
      <c r="AR15" s="6">
        <v>46081</v>
      </c>
      <c r="AS15" s="5" t="s">
        <v>258</v>
      </c>
      <c r="AT15" s="5">
        <v>5.5</v>
      </c>
    </row>
    <row r="16" spans="1:46" x14ac:dyDescent="0.3">
      <c r="A16" s="5">
        <v>15</v>
      </c>
      <c r="B16" s="5" t="s">
        <v>146</v>
      </c>
      <c r="C16" s="5" t="s">
        <v>147</v>
      </c>
      <c r="D16" s="5">
        <v>8</v>
      </c>
      <c r="E16" s="5">
        <v>7.6</v>
      </c>
      <c r="F16" s="5">
        <v>3</v>
      </c>
      <c r="G16" s="5" t="s">
        <v>148</v>
      </c>
      <c r="H16" s="5" t="s">
        <v>259</v>
      </c>
      <c r="I16" s="6">
        <v>45275</v>
      </c>
      <c r="J16" s="5" t="s">
        <v>149</v>
      </c>
      <c r="K16" s="5" t="s">
        <v>150</v>
      </c>
      <c r="L16" s="5" t="s">
        <v>151</v>
      </c>
      <c r="M16" s="5">
        <v>8.5</v>
      </c>
      <c r="N16" s="5" t="s">
        <v>152</v>
      </c>
      <c r="O16" s="6">
        <v>45275</v>
      </c>
      <c r="P16" s="6">
        <v>45292</v>
      </c>
      <c r="Q16" s="6">
        <v>45777</v>
      </c>
      <c r="R16" s="5">
        <v>0.76</v>
      </c>
      <c r="S16" s="6">
        <v>46142</v>
      </c>
      <c r="T16" s="5">
        <v>0.6</v>
      </c>
      <c r="U16" s="5">
        <v>0.3</v>
      </c>
      <c r="V16" s="5">
        <v>0.3</v>
      </c>
      <c r="W16" s="5" t="s">
        <v>57</v>
      </c>
      <c r="X16" s="5" t="s">
        <v>58</v>
      </c>
      <c r="Y16" s="5"/>
      <c r="Z16" s="5"/>
      <c r="AA16" s="5"/>
      <c r="AB16" s="5"/>
      <c r="AC16" s="5">
        <v>3.8</v>
      </c>
      <c r="AD16" s="5">
        <v>0.2</v>
      </c>
      <c r="AE16" s="5">
        <v>3.4</v>
      </c>
      <c r="AF16" s="5">
        <v>0.4</v>
      </c>
      <c r="AG16" s="5"/>
      <c r="AH16" s="5"/>
      <c r="AI16" s="8">
        <v>0.5</v>
      </c>
      <c r="AJ16" s="5" t="s">
        <v>260</v>
      </c>
      <c r="AK16" s="5"/>
      <c r="AL16" s="5" t="s">
        <v>47</v>
      </c>
      <c r="AM16" s="5" t="s">
        <v>153</v>
      </c>
      <c r="AN16" s="5">
        <v>0.38</v>
      </c>
      <c r="AO16" s="6">
        <v>45767</v>
      </c>
      <c r="AP16" s="5" t="s">
        <v>42</v>
      </c>
      <c r="AQ16" s="5">
        <v>0.76</v>
      </c>
      <c r="AR16" s="6">
        <v>46142</v>
      </c>
      <c r="AS16" s="5" t="s">
        <v>261</v>
      </c>
      <c r="AT16" s="5">
        <v>3.8</v>
      </c>
    </row>
    <row r="17" spans="1:46" x14ac:dyDescent="0.3">
      <c r="A17" s="5">
        <v>16</v>
      </c>
      <c r="B17" s="5" t="s">
        <v>154</v>
      </c>
      <c r="C17" s="5" t="s">
        <v>155</v>
      </c>
      <c r="D17" s="5">
        <v>4.2</v>
      </c>
      <c r="E17" s="5">
        <v>4</v>
      </c>
      <c r="F17" s="5">
        <v>3</v>
      </c>
      <c r="G17" s="5" t="s">
        <v>156</v>
      </c>
      <c r="H17" s="5" t="s">
        <v>262</v>
      </c>
      <c r="I17" s="6">
        <v>45301</v>
      </c>
      <c r="J17" s="5" t="s">
        <v>45</v>
      </c>
      <c r="K17" s="5" t="s">
        <v>157</v>
      </c>
      <c r="L17" s="5" t="s">
        <v>158</v>
      </c>
      <c r="M17" s="5">
        <v>4.5</v>
      </c>
      <c r="N17" s="5" t="s">
        <v>159</v>
      </c>
      <c r="O17" s="6">
        <v>45301</v>
      </c>
      <c r="P17" s="6">
        <v>45316</v>
      </c>
      <c r="Q17" s="6">
        <v>45620</v>
      </c>
      <c r="R17" s="5">
        <v>0.4</v>
      </c>
      <c r="S17" s="6">
        <v>45991</v>
      </c>
      <c r="T17" s="5">
        <v>0.3</v>
      </c>
      <c r="U17" s="5">
        <v>0.15</v>
      </c>
      <c r="V17" s="5">
        <v>0.15</v>
      </c>
      <c r="W17" s="5" t="s">
        <v>57</v>
      </c>
      <c r="X17" s="5" t="s">
        <v>58</v>
      </c>
      <c r="Y17" s="5"/>
      <c r="Z17" s="5"/>
      <c r="AA17" s="5"/>
      <c r="AB17" s="5"/>
      <c r="AC17" s="5">
        <v>2.2000000000000002</v>
      </c>
      <c r="AD17" s="5">
        <v>0.1</v>
      </c>
      <c r="AE17" s="5">
        <v>2</v>
      </c>
      <c r="AF17" s="5">
        <v>0.2</v>
      </c>
      <c r="AG17" s="5"/>
      <c r="AH17" s="5"/>
      <c r="AI17" s="8">
        <v>0.55000000000000004</v>
      </c>
      <c r="AJ17" s="5" t="s">
        <v>263</v>
      </c>
      <c r="AK17" s="5"/>
      <c r="AL17" s="5" t="s">
        <v>47</v>
      </c>
      <c r="AM17" s="5" t="s">
        <v>160</v>
      </c>
      <c r="AN17" s="5">
        <v>0.2</v>
      </c>
      <c r="AO17" s="6">
        <v>45611</v>
      </c>
      <c r="AP17" s="5" t="s">
        <v>42</v>
      </c>
      <c r="AQ17" s="5">
        <v>0.4</v>
      </c>
      <c r="AR17" s="6">
        <v>45991</v>
      </c>
      <c r="AS17" s="5" t="s">
        <v>264</v>
      </c>
      <c r="AT17" s="5">
        <v>2.2000000000000002</v>
      </c>
    </row>
    <row r="18" spans="1:46" x14ac:dyDescent="0.3">
      <c r="A18" s="5">
        <v>17</v>
      </c>
      <c r="B18" s="5" t="s">
        <v>161</v>
      </c>
      <c r="C18" s="5" t="s">
        <v>162</v>
      </c>
      <c r="D18" s="5">
        <v>6</v>
      </c>
      <c r="E18" s="5">
        <v>5.7</v>
      </c>
      <c r="F18" s="5">
        <v>4</v>
      </c>
      <c r="G18" s="5" t="s">
        <v>88</v>
      </c>
      <c r="H18" s="5" t="s">
        <v>265</v>
      </c>
      <c r="I18" s="6">
        <v>45323</v>
      </c>
      <c r="J18" s="5" t="s">
        <v>43</v>
      </c>
      <c r="K18" s="5" t="s">
        <v>89</v>
      </c>
      <c r="L18" s="5" t="s">
        <v>163</v>
      </c>
      <c r="M18" s="5">
        <v>6.5</v>
      </c>
      <c r="N18" s="5" t="s">
        <v>164</v>
      </c>
      <c r="O18" s="6">
        <v>45323</v>
      </c>
      <c r="P18" s="6">
        <v>45337</v>
      </c>
      <c r="Q18" s="6">
        <v>45761</v>
      </c>
      <c r="R18" s="5">
        <v>0.56999999999999995</v>
      </c>
      <c r="S18" s="6">
        <v>46142</v>
      </c>
      <c r="T18" s="5">
        <v>0.45</v>
      </c>
      <c r="U18" s="5">
        <v>0.2</v>
      </c>
      <c r="V18" s="5">
        <v>0.25</v>
      </c>
      <c r="W18" s="5" t="s">
        <v>57</v>
      </c>
      <c r="X18" s="5" t="s">
        <v>58</v>
      </c>
      <c r="Y18" s="5"/>
      <c r="Z18" s="5"/>
      <c r="AA18" s="5"/>
      <c r="AB18" s="5"/>
      <c r="AC18" s="5">
        <v>2.9</v>
      </c>
      <c r="AD18" s="5">
        <v>0.15</v>
      </c>
      <c r="AE18" s="5">
        <v>2.6</v>
      </c>
      <c r="AF18" s="5">
        <v>0.3</v>
      </c>
      <c r="AG18" s="5"/>
      <c r="AH18" s="5"/>
      <c r="AI18" s="8">
        <v>0.51</v>
      </c>
      <c r="AJ18" s="5" t="s">
        <v>235</v>
      </c>
      <c r="AK18" s="5"/>
      <c r="AL18" s="5" t="s">
        <v>47</v>
      </c>
      <c r="AM18" s="5" t="s">
        <v>92</v>
      </c>
      <c r="AN18" s="5">
        <v>0.28000000000000003</v>
      </c>
      <c r="AO18" s="6">
        <v>45748</v>
      </c>
      <c r="AP18" s="5" t="s">
        <v>42</v>
      </c>
      <c r="AQ18" s="5">
        <v>0.56999999999999995</v>
      </c>
      <c r="AR18" s="6">
        <v>46142</v>
      </c>
      <c r="AS18" s="5" t="s">
        <v>266</v>
      </c>
      <c r="AT18" s="5">
        <v>2.9</v>
      </c>
    </row>
    <row r="19" spans="1:46" x14ac:dyDescent="0.3">
      <c r="A19" s="5">
        <v>18</v>
      </c>
      <c r="B19" s="5" t="s">
        <v>165</v>
      </c>
      <c r="C19" s="5" t="s">
        <v>166</v>
      </c>
      <c r="D19" s="5">
        <v>14</v>
      </c>
      <c r="E19" s="5">
        <v>13.4</v>
      </c>
      <c r="F19" s="5">
        <v>5</v>
      </c>
      <c r="G19" s="5" t="s">
        <v>62</v>
      </c>
      <c r="H19" s="5" t="s">
        <v>267</v>
      </c>
      <c r="I19" s="6">
        <v>45337</v>
      </c>
      <c r="J19" s="5" t="s">
        <v>44</v>
      </c>
      <c r="K19" s="5" t="s">
        <v>167</v>
      </c>
      <c r="L19" s="5" t="s">
        <v>168</v>
      </c>
      <c r="M19" s="5">
        <v>15</v>
      </c>
      <c r="N19" s="5" t="s">
        <v>169</v>
      </c>
      <c r="O19" s="6">
        <v>45337</v>
      </c>
      <c r="P19" s="6">
        <v>45352</v>
      </c>
      <c r="Q19" s="6">
        <v>45900</v>
      </c>
      <c r="R19" s="5">
        <v>1.34</v>
      </c>
      <c r="S19" s="6">
        <v>46265</v>
      </c>
      <c r="T19" s="5">
        <v>1.1000000000000001</v>
      </c>
      <c r="U19" s="5">
        <v>0.4</v>
      </c>
      <c r="V19" s="5">
        <v>0.7</v>
      </c>
      <c r="W19" s="5" t="s">
        <v>57</v>
      </c>
      <c r="X19" s="5" t="s">
        <v>58</v>
      </c>
      <c r="Y19" s="5"/>
      <c r="Z19" s="5"/>
      <c r="AA19" s="5"/>
      <c r="AB19" s="5"/>
      <c r="AC19" s="5">
        <v>6</v>
      </c>
      <c r="AD19" s="5">
        <v>0.4</v>
      </c>
      <c r="AE19" s="5">
        <v>5.4</v>
      </c>
      <c r="AF19" s="5">
        <v>0.6</v>
      </c>
      <c r="AG19" s="5"/>
      <c r="AH19" s="5"/>
      <c r="AI19" s="8">
        <v>0.45</v>
      </c>
      <c r="AJ19" s="5" t="s">
        <v>268</v>
      </c>
      <c r="AK19" s="5"/>
      <c r="AL19" s="5" t="s">
        <v>47</v>
      </c>
      <c r="AM19" s="5" t="s">
        <v>170</v>
      </c>
      <c r="AN19" s="5">
        <v>0.6</v>
      </c>
      <c r="AO19" s="6">
        <v>45884</v>
      </c>
      <c r="AP19" s="5" t="s">
        <v>42</v>
      </c>
      <c r="AQ19" s="5">
        <v>1.34</v>
      </c>
      <c r="AR19" s="6">
        <v>46265</v>
      </c>
      <c r="AS19" s="5" t="s">
        <v>266</v>
      </c>
      <c r="AT19" s="5">
        <v>6</v>
      </c>
    </row>
    <row r="20" spans="1:46" x14ac:dyDescent="0.3">
      <c r="A20" s="5">
        <v>19</v>
      </c>
      <c r="B20" s="5" t="s">
        <v>171</v>
      </c>
      <c r="C20" s="5" t="s">
        <v>172</v>
      </c>
      <c r="D20" s="5">
        <v>5.5</v>
      </c>
      <c r="E20" s="5">
        <v>5.2</v>
      </c>
      <c r="F20" s="5">
        <v>4</v>
      </c>
      <c r="G20" s="5" t="s">
        <v>269</v>
      </c>
      <c r="H20" s="5" t="s">
        <v>270</v>
      </c>
      <c r="I20" s="6">
        <v>45352</v>
      </c>
      <c r="J20" s="5" t="s">
        <v>96</v>
      </c>
      <c r="K20" s="5" t="s">
        <v>173</v>
      </c>
      <c r="L20" s="5" t="s">
        <v>174</v>
      </c>
      <c r="M20" s="5">
        <v>5.8</v>
      </c>
      <c r="N20" s="5" t="s">
        <v>175</v>
      </c>
      <c r="O20" s="6">
        <v>45352</v>
      </c>
      <c r="P20" s="6">
        <v>45371</v>
      </c>
      <c r="Q20" s="6">
        <v>45645</v>
      </c>
      <c r="R20" s="5">
        <v>0.52</v>
      </c>
      <c r="S20" s="6">
        <v>46022</v>
      </c>
      <c r="T20" s="5">
        <v>0.4</v>
      </c>
      <c r="U20" s="5">
        <v>0.25</v>
      </c>
      <c r="V20" s="5">
        <v>0.15</v>
      </c>
      <c r="W20" s="5" t="s">
        <v>57</v>
      </c>
      <c r="X20" s="5" t="s">
        <v>58</v>
      </c>
      <c r="Y20" s="5"/>
      <c r="Z20" s="5"/>
      <c r="AA20" s="5"/>
      <c r="AB20" s="5"/>
      <c r="AC20" s="5">
        <v>3.4</v>
      </c>
      <c r="AD20" s="5">
        <v>0.12</v>
      </c>
      <c r="AE20" s="5">
        <v>3.1</v>
      </c>
      <c r="AF20" s="5">
        <v>0.3</v>
      </c>
      <c r="AG20" s="5"/>
      <c r="AH20" s="5"/>
      <c r="AI20" s="8">
        <v>0.65</v>
      </c>
      <c r="AJ20" s="5" t="s">
        <v>271</v>
      </c>
      <c r="AK20" s="5"/>
      <c r="AL20" s="5" t="s">
        <v>47</v>
      </c>
      <c r="AM20" s="5" t="s">
        <v>176</v>
      </c>
      <c r="AN20" s="5">
        <v>0.22</v>
      </c>
      <c r="AO20" s="6">
        <v>45636</v>
      </c>
      <c r="AP20" s="5" t="s">
        <v>42</v>
      </c>
      <c r="AQ20" s="5">
        <v>0.52</v>
      </c>
      <c r="AR20" s="6">
        <v>46022</v>
      </c>
      <c r="AS20" s="5" t="s">
        <v>272</v>
      </c>
      <c r="AT20" s="5">
        <v>3.4</v>
      </c>
    </row>
    <row r="21" spans="1:46" x14ac:dyDescent="0.3">
      <c r="A21" s="5">
        <v>20</v>
      </c>
      <c r="B21" s="5" t="s">
        <v>177</v>
      </c>
      <c r="C21" s="5" t="s">
        <v>178</v>
      </c>
      <c r="D21" s="5">
        <v>3</v>
      </c>
      <c r="E21" s="5">
        <v>2.85</v>
      </c>
      <c r="F21" s="5">
        <v>3</v>
      </c>
      <c r="G21" s="5" t="s">
        <v>137</v>
      </c>
      <c r="H21" s="5" t="s">
        <v>273</v>
      </c>
      <c r="I21" s="6">
        <v>45361</v>
      </c>
      <c r="J21" s="5" t="s">
        <v>73</v>
      </c>
      <c r="K21" s="5" t="s">
        <v>137</v>
      </c>
      <c r="L21" s="5" t="s">
        <v>179</v>
      </c>
      <c r="M21" s="5">
        <v>3.2</v>
      </c>
      <c r="N21" s="5" t="s">
        <v>180</v>
      </c>
      <c r="O21" s="6">
        <v>45361</v>
      </c>
      <c r="P21" s="6">
        <v>45376</v>
      </c>
      <c r="Q21" s="6">
        <v>45559</v>
      </c>
      <c r="R21" s="5">
        <v>0.28999999999999998</v>
      </c>
      <c r="S21" s="6">
        <v>45930</v>
      </c>
      <c r="T21" s="5">
        <v>0.2</v>
      </c>
      <c r="U21" s="5">
        <v>0.15</v>
      </c>
      <c r="V21" s="5">
        <v>0.05</v>
      </c>
      <c r="W21" s="5" t="s">
        <v>57</v>
      </c>
      <c r="X21" s="5" t="s">
        <v>240</v>
      </c>
      <c r="Y21" s="5"/>
      <c r="Z21" s="5"/>
      <c r="AA21" s="5"/>
      <c r="AB21" s="5"/>
      <c r="AC21" s="5">
        <v>2.6</v>
      </c>
      <c r="AD21" s="5">
        <v>0.08</v>
      </c>
      <c r="AE21" s="5">
        <v>2.4</v>
      </c>
      <c r="AF21" s="5">
        <v>0.2</v>
      </c>
      <c r="AG21" s="5"/>
      <c r="AH21" s="5"/>
      <c r="AI21" s="8">
        <v>0.88</v>
      </c>
      <c r="AJ21" s="5" t="s">
        <v>238</v>
      </c>
      <c r="AK21" s="5"/>
      <c r="AL21" s="5" t="s">
        <v>47</v>
      </c>
      <c r="AM21" s="5" t="s">
        <v>181</v>
      </c>
      <c r="AN21" s="5">
        <v>0.15</v>
      </c>
      <c r="AO21" s="6">
        <v>45550</v>
      </c>
      <c r="AP21" s="5" t="s">
        <v>42</v>
      </c>
      <c r="AQ21" s="5">
        <v>0.28999999999999998</v>
      </c>
      <c r="AR21" s="6">
        <v>45930</v>
      </c>
      <c r="AS21" s="5" t="s">
        <v>274</v>
      </c>
      <c r="AT21" s="5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progress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2026-03-28T10:07:22Z</dcterms:modified>
</cp:coreProperties>
</file>