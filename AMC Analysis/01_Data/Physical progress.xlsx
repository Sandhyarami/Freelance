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filterPrivacy="1" defaultThemeVersion="124226"/>
  <xr:revisionPtr revIDLastSave="0" documentId="13_ncr:1_{ABDDBD69-635E-46EE-BBBC-EDAF71A431A2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Physical progress" sheetId="2" r:id="rId1"/>
    <sheet name="Dummy_Data_Review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2" l="1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</calcChain>
</file>

<file path=xl/sharedStrings.xml><?xml version="1.0" encoding="utf-8"?>
<sst xmlns="http://schemas.openxmlformats.org/spreadsheetml/2006/main" count="409" uniqueCount="249">
  <si>
    <t>Sr. No.</t>
  </si>
  <si>
    <t>Name of work</t>
  </si>
  <si>
    <t>Name of contractor</t>
  </si>
  <si>
    <t>Project status</t>
  </si>
  <si>
    <t>Name of the department</t>
  </si>
  <si>
    <t>Geographical location</t>
  </si>
  <si>
    <t>Project milestones</t>
  </si>
  <si>
    <t>Activity/phase wise status (eg. Site preparation, foundation work, electrical installation)</t>
  </si>
  <si>
    <t>Status of material delivered</t>
  </si>
  <si>
    <t>Project start date</t>
  </si>
  <si>
    <t>Project end date</t>
  </si>
  <si>
    <t>Scheduled vs actual timeline (graphical presentation)</t>
  </si>
  <si>
    <t>Duration and reason for delay</t>
  </si>
  <si>
    <t>Labor utilization, if any</t>
  </si>
  <si>
    <t>No. of equipments put to use and utilization done</t>
  </si>
  <si>
    <t>Material consumption (Estimated use vs. actual use)</t>
  </si>
  <si>
    <t>Department wise constribution (eg. Civil work progress, electrical &amp; mechanical work progress etc.)</t>
  </si>
  <si>
    <t>Potential risks involved (eg. Weather conditions, labor strikes, supply chain delay)</t>
  </si>
  <si>
    <t>Current issues (on-going)</t>
  </si>
  <si>
    <t>Risk mitigation plans</t>
  </si>
  <si>
    <t>Quality inspections</t>
  </si>
  <si>
    <t>Defect rectification</t>
  </si>
  <si>
    <t>Site inspections (date, time &amp; findings)</t>
  </si>
  <si>
    <t>Safety incidents (quantum &amp; impact)</t>
  </si>
  <si>
    <t>Safety compliance at work site</t>
  </si>
  <si>
    <t>Overall progress charts</t>
  </si>
  <si>
    <t>Handover date</t>
  </si>
  <si>
    <t>Environmental factors (eg. Waste management, water management, environmental clearance)</t>
  </si>
  <si>
    <t>Physical progress parameters</t>
  </si>
  <si>
    <t>Official name or title of the project.</t>
  </si>
  <si>
    <t>Company or agency executing the work.</t>
  </si>
  <si>
    <t>Roads &amp; Buildings, Water Supply, Electrical Dept.</t>
  </si>
  <si>
    <t>Not Started / In Progress / Delayed / Completed / On Hold</t>
  </si>
  <si>
    <t>Zone, Ward, Area, City.</t>
  </si>
  <si>
    <t>Date on which work officially started.</t>
  </si>
  <si>
    <t>Planned or actual completion date.</t>
  </si>
  <si>
    <t>Comparison between planned schedule and actual progress</t>
  </si>
  <si>
    <t>30 days delay due to monsoon rains.</t>
  </si>
  <si>
    <t>Foundation completed,Structure completed,Electrical work finished</t>
  </si>
  <si>
    <t>Site preparation – 100%,Foundation – 90%,Electrical – 60%</t>
  </si>
  <si>
    <t>Pending / Partial / Fully Delivered</t>
  </si>
  <si>
    <t>Planned: 50 | Actual: 40</t>
  </si>
  <si>
    <t>JCB: 3 (80% utilized)</t>
  </si>
  <si>
    <t>Cement – Estimated: 500 MT | Actual: 540 MT</t>
  </si>
  <si>
    <t>Civil: 70%,Electrical: 50%,Mechanical: 40%</t>
  </si>
  <si>
    <t>Heavy rain,Labor shortage,Material delay</t>
  </si>
  <si>
    <t>Payment delay, power issue at site.</t>
  </si>
  <si>
    <t>Alternate supplier arranged.</t>
  </si>
  <si>
    <t>Concrete strength test passed.</t>
  </si>
  <si>
    <t>Cracks repaired, wiring corrected.</t>
  </si>
  <si>
    <t>Details of inspection visits.</t>
  </si>
  <si>
    <t>2 minor injuries, no fatality.</t>
  </si>
  <si>
    <t>Helmet usage, barricading, signage.</t>
  </si>
  <si>
    <t>Summary view of total project progress.</t>
  </si>
  <si>
    <t>Date when project is handed over to AMC</t>
  </si>
  <si>
    <t>Environmental compliance during construction</t>
  </si>
  <si>
    <t>Sr No</t>
  </si>
  <si>
    <t>Name of Work</t>
  </si>
  <si>
    <t>Contractor</t>
  </si>
  <si>
    <t>Department</t>
  </si>
  <si>
    <t>Project Status</t>
  </si>
  <si>
    <t>Location</t>
  </si>
  <si>
    <t>Start Date</t>
  </si>
  <si>
    <t>End Date</t>
  </si>
  <si>
    <t>Schedule vs Actual</t>
  </si>
  <si>
    <t>Milestone</t>
  </si>
  <si>
    <t>Material Delivery</t>
  </si>
  <si>
    <t>Equipment Utilization</t>
  </si>
  <si>
    <t>Potential Risks</t>
  </si>
  <si>
    <t>Current Issues</t>
  </si>
  <si>
    <t>Risk Mitigation</t>
  </si>
  <si>
    <t>Quality Inspection</t>
  </si>
  <si>
    <t>Defect Rectification</t>
  </si>
  <si>
    <t>Site Inspection</t>
  </si>
  <si>
    <t>Safety Incidents</t>
  </si>
  <si>
    <t>Safety Compliance</t>
  </si>
  <si>
    <t>Overall Progress %</t>
  </si>
  <si>
    <t>Handover Date</t>
  </si>
  <si>
    <t>Environmental Factors</t>
  </si>
  <si>
    <t>Road Resurfacing Phase I</t>
  </si>
  <si>
    <t>ABC Infra</t>
  </si>
  <si>
    <t>Roads</t>
  </si>
  <si>
    <t>In Progress</t>
  </si>
  <si>
    <t>Zone A</t>
  </si>
  <si>
    <t>Foundation Done</t>
  </si>
  <si>
    <t>Partial</t>
  </si>
  <si>
    <t>Weather</t>
  </si>
  <si>
    <t>Material delay</t>
  </si>
  <si>
    <t>Extra supplier</t>
  </si>
  <si>
    <t>Passed</t>
  </si>
  <si>
    <t>Nil</t>
  </si>
  <si>
    <t>High</t>
  </si>
  <si>
    <t>Dust control</t>
  </si>
  <si>
    <t>Drainage Line Work</t>
  </si>
  <si>
    <t>XYZ Constructions</t>
  </si>
  <si>
    <t>Water Supply</t>
  </si>
  <si>
    <t>Delayed</t>
  </si>
  <si>
    <t>Zone B</t>
  </si>
  <si>
    <t>Excavation Done</t>
  </si>
  <si>
    <t>Utility conflict</t>
  </si>
  <si>
    <t>Pipe shortage</t>
  </si>
  <si>
    <t>Alt routing</t>
  </si>
  <si>
    <t>Minor</t>
  </si>
  <si>
    <t>Medium</t>
  </si>
  <si>
    <t>Waste mgmt</t>
  </si>
  <si>
    <t>AMC Office Renovation</t>
  </si>
  <si>
    <t>BuildWell Ltd</t>
  </si>
  <si>
    <t>Buildings</t>
  </si>
  <si>
    <t>HQ</t>
  </si>
  <si>
    <t>On Track</t>
  </si>
  <si>
    <t>Civil Done</t>
  </si>
  <si>
    <t>Complete</t>
  </si>
  <si>
    <t>Labor</t>
  </si>
  <si>
    <t>None</t>
  </si>
  <si>
    <t>Buffer staff</t>
  </si>
  <si>
    <t>Noise control</t>
  </si>
  <si>
    <t>Street Light Installation</t>
  </si>
  <si>
    <t>LightTech</t>
  </si>
  <si>
    <t>Electrical</t>
  </si>
  <si>
    <t>Zone C</t>
  </si>
  <si>
    <t>Slight Delay</t>
  </si>
  <si>
    <t>Poles Installed</t>
  </si>
  <si>
    <t>Supply delay</t>
  </si>
  <si>
    <t>Cable delay</t>
  </si>
  <si>
    <t>Local vendor</t>
  </si>
  <si>
    <t>Energy efficient</t>
  </si>
  <si>
    <t>Water Tank Construction</t>
  </si>
  <si>
    <t>AquaBuild</t>
  </si>
  <si>
    <t>Zone D</t>
  </si>
  <si>
    <t>Water logging</t>
  </si>
  <si>
    <t>Dewatering</t>
  </si>
  <si>
    <t>Failed once</t>
  </si>
  <si>
    <t>Crack fixed</t>
  </si>
  <si>
    <t>Water reuse</t>
  </si>
  <si>
    <t>Footpath Development</t>
  </si>
  <si>
    <t>UrbanWorks</t>
  </si>
  <si>
    <t>Kerbing Done</t>
  </si>
  <si>
    <t>Traffic</t>
  </si>
  <si>
    <t>Night work</t>
  </si>
  <si>
    <t>Waste reuse</t>
  </si>
  <si>
    <t>Storm Water Drain</t>
  </si>
  <si>
    <t>DrainTech</t>
  </si>
  <si>
    <t>Zone E</t>
  </si>
  <si>
    <t>Channel Done</t>
  </si>
  <si>
    <t>Flooding</t>
  </si>
  <si>
    <t>Temp diversion</t>
  </si>
  <si>
    <t>Silt control</t>
  </si>
  <si>
    <t>Public Toilet Block</t>
  </si>
  <si>
    <t>CleanCity</t>
  </si>
  <si>
    <t>Sanitation</t>
  </si>
  <si>
    <t>Zone F</t>
  </si>
  <si>
    <t>Structure Done</t>
  </si>
  <si>
    <t>Approval</t>
  </si>
  <si>
    <t>Design change</t>
  </si>
  <si>
    <t>Fast-track</t>
  </si>
  <si>
    <t>Rework</t>
  </si>
  <si>
    <t>Waste water</t>
  </si>
  <si>
    <t>Bus Stop Shelter</t>
  </si>
  <si>
    <t>MetroInfra</t>
  </si>
  <si>
    <t>Transport</t>
  </si>
  <si>
    <t>Completed</t>
  </si>
  <si>
    <t>NA</t>
  </si>
  <si>
    <t>Recyclable</t>
  </si>
  <si>
    <t>Garden Development</t>
  </si>
  <si>
    <t>GreenScape</t>
  </si>
  <si>
    <t>Parks</t>
  </si>
  <si>
    <t>Plantation Started</t>
  </si>
  <si>
    <t>Shade nets</t>
  </si>
  <si>
    <t>Water saving</t>
  </si>
  <si>
    <t>Road Widening</t>
  </si>
  <si>
    <t>Demolition Done</t>
  </si>
  <si>
    <t>Utilities</t>
  </si>
  <si>
    <t>Cable shift</t>
  </si>
  <si>
    <t>Coordination</t>
  </si>
  <si>
    <t>Culvert Repair</t>
  </si>
  <si>
    <t>Silt mgmt</t>
  </si>
  <si>
    <t>Electrical Substation</t>
  </si>
  <si>
    <t>PowerGrid</t>
  </si>
  <si>
    <t>Equipment Installed</t>
  </si>
  <si>
    <t>Supply</t>
  </si>
  <si>
    <t>Panel delay</t>
  </si>
  <si>
    <t>Air freight</t>
  </si>
  <si>
    <t>Energy norms</t>
  </si>
  <si>
    <t>Sewer Network</t>
  </si>
  <si>
    <t>Laying Started</t>
  </si>
  <si>
    <t>Shortage</t>
  </si>
  <si>
    <t>Local hire</t>
  </si>
  <si>
    <t>Community Hall</t>
  </si>
  <si>
    <t>Funding</t>
  </si>
  <si>
    <t>Staged work</t>
  </si>
  <si>
    <t>Green norms</t>
  </si>
  <si>
    <t>Delay Reason</t>
  </si>
  <si>
    <t xml:space="preserve">Delay Days </t>
  </si>
  <si>
    <t>Rain</t>
  </si>
  <si>
    <t>Utility shift</t>
  </si>
  <si>
    <t>Monsoon</t>
  </si>
  <si>
    <t>Utility</t>
  </si>
  <si>
    <t>No</t>
  </si>
  <si>
    <t>Planned Labour</t>
  </si>
  <si>
    <t>Actual Labour</t>
  </si>
  <si>
    <t>Bitumen</t>
  </si>
  <si>
    <t>Pipes</t>
  </si>
  <si>
    <t>Cement</t>
  </si>
  <si>
    <t>Cable</t>
  </si>
  <si>
    <t>Steel</t>
  </si>
  <si>
    <t>Tiles</t>
  </si>
  <si>
    <t>RCC</t>
  </si>
  <si>
    <t>Plants</t>
  </si>
  <si>
    <t>Soil</t>
  </si>
  <si>
    <t>Panels</t>
  </si>
  <si>
    <t>Material Name</t>
  </si>
  <si>
    <t>Material Estimated</t>
  </si>
  <si>
    <t>Material Actual</t>
  </si>
  <si>
    <t xml:space="preserve">Department </t>
  </si>
  <si>
    <t>Civil</t>
  </si>
  <si>
    <t>Department Contribution</t>
  </si>
  <si>
    <t>Earthwork</t>
  </si>
  <si>
    <t>Excavation</t>
  </si>
  <si>
    <t>Poles</t>
  </si>
  <si>
    <t>Foundation</t>
  </si>
  <si>
    <t>Kerb</t>
  </si>
  <si>
    <t>Structure</t>
  </si>
  <si>
    <t>Laying</t>
  </si>
  <si>
    <t>Phase Name</t>
  </si>
  <si>
    <t>Phase Status</t>
  </si>
  <si>
    <t>Paving</t>
  </si>
  <si>
    <t>Wiring</t>
  </si>
  <si>
    <t>Wall</t>
  </si>
  <si>
    <t>Finishing</t>
  </si>
  <si>
    <t>Meaning / Example</t>
  </si>
  <si>
    <t>a</t>
  </si>
  <si>
    <t>Equipment Name</t>
  </si>
  <si>
    <t>Boiler System</t>
  </si>
  <si>
    <t>Chilling Unit</t>
  </si>
  <si>
    <t>Pasteurizer</t>
  </si>
  <si>
    <t>Homogenizer</t>
  </si>
  <si>
    <t>Cream Separator</t>
  </si>
  <si>
    <t>Storage Tank A</t>
  </si>
  <si>
    <t>Storage Tank B</t>
  </si>
  <si>
    <t>Packaging Line 1</t>
  </si>
  <si>
    <t>Packaging Line 2</t>
  </si>
  <si>
    <t>Conveyor Belt</t>
  </si>
  <si>
    <t>CIP Unit</t>
  </si>
  <si>
    <t>Refrigeration System</t>
  </si>
  <si>
    <t>Generator Set</t>
  </si>
  <si>
    <t>Water Treatment Unit</t>
  </si>
  <si>
    <t>Air Compressor</t>
  </si>
  <si>
    <t>Equipment Utilization in %</t>
  </si>
  <si>
    <t>Physical Progress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</si>
</sst>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left" vertical="center"/>
    </xf>
    <xf numFmtId="9" fontId="0" fillId="0" borderId="1" xfId="0" applyNumberForma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9" fontId="0" fillId="0" borderId="1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8"/>
  <sheetViews>
    <sheetView workbookViewId="0">
      <selection activeCell="C8" sqref="C8"/>
    </sheetView>
  </sheetViews>
  <sheetFormatPr defaultRowHeight="15" x14ac:dyDescent="0.25"/>
  <cols>
    <col min="1" max="1" width="9.140625" style="1"/>
    <col min="2" max="2" width="55.42578125" style="1" customWidth="1"/>
    <col min="3" max="3" width="62.85546875" style="1" bestFit="1" customWidth="1"/>
    <col min="4" max="16384" width="9.140625" style="1"/>
  </cols>
  <sheetData>
    <row r="1" spans="1:3" x14ac:dyDescent="0.25">
      <c r="A1" s="2" t="s">
        <v>0</v>
      </c>
      <c r="B1" s="2" t="s">
        <v>28</v>
      </c>
      <c r="C1" s="2" t="s">
        <v>229</v>
      </c>
    </row>
    <row r="2" spans="1:3" x14ac:dyDescent="0.25">
      <c r="A2" s="5">
        <v>1</v>
      </c>
      <c r="B2" s="3" t="s">
        <v>1</v>
      </c>
      <c r="C2" s="3" t="s">
        <v>29</v>
      </c>
    </row>
    <row r="3" spans="1:3" x14ac:dyDescent="0.25">
      <c r="A3" s="5">
        <f>+A2+1</f>
        <v>2</v>
      </c>
      <c r="B3" s="3" t="s">
        <v>2</v>
      </c>
      <c r="C3" s="3" t="s">
        <v>30</v>
      </c>
    </row>
    <row r="4" spans="1:3" x14ac:dyDescent="0.25">
      <c r="A4" s="5">
        <f t="shared" ref="A4:A28" si="0">+A3+1</f>
        <v>3</v>
      </c>
      <c r="B4" s="3" t="s">
        <v>4</v>
      </c>
      <c r="C4" s="3" t="s">
        <v>31</v>
      </c>
    </row>
    <row r="5" spans="1:3" x14ac:dyDescent="0.25">
      <c r="A5" s="5">
        <f t="shared" si="0"/>
        <v>4</v>
      </c>
      <c r="B5" s="3" t="s">
        <v>3</v>
      </c>
      <c r="C5" s="3" t="s">
        <v>32</v>
      </c>
    </row>
    <row r="6" spans="1:3" x14ac:dyDescent="0.25">
      <c r="A6" s="5">
        <f t="shared" si="0"/>
        <v>5</v>
      </c>
      <c r="B6" s="3" t="s">
        <v>5</v>
      </c>
      <c r="C6" s="3" t="s">
        <v>33</v>
      </c>
    </row>
    <row r="7" spans="1:3" x14ac:dyDescent="0.25">
      <c r="A7" s="5">
        <f t="shared" si="0"/>
        <v>6</v>
      </c>
      <c r="B7" s="3" t="s">
        <v>9</v>
      </c>
      <c r="C7" s="3" t="s">
        <v>34</v>
      </c>
    </row>
    <row r="8" spans="1:3" x14ac:dyDescent="0.25">
      <c r="A8" s="5">
        <f t="shared" si="0"/>
        <v>7</v>
      </c>
      <c r="B8" s="4" t="s">
        <v>10</v>
      </c>
      <c r="C8" s="3" t="s">
        <v>35</v>
      </c>
    </row>
    <row r="9" spans="1:3" x14ac:dyDescent="0.25">
      <c r="A9" s="5">
        <f t="shared" si="0"/>
        <v>8</v>
      </c>
      <c r="B9" s="3" t="s">
        <v>11</v>
      </c>
      <c r="C9" s="3" t="s">
        <v>36</v>
      </c>
    </row>
    <row r="10" spans="1:3" x14ac:dyDescent="0.25">
      <c r="A10" s="5">
        <f t="shared" si="0"/>
        <v>9</v>
      </c>
      <c r="B10" s="4" t="s">
        <v>12</v>
      </c>
      <c r="C10" s="3" t="s">
        <v>37</v>
      </c>
    </row>
    <row r="11" spans="1:3" x14ac:dyDescent="0.25">
      <c r="A11" s="5">
        <f t="shared" si="0"/>
        <v>10</v>
      </c>
      <c r="B11" s="3" t="s">
        <v>6</v>
      </c>
      <c r="C11" s="3" t="s">
        <v>38</v>
      </c>
    </row>
    <row r="12" spans="1:3" ht="30" x14ac:dyDescent="0.25">
      <c r="A12" s="5">
        <f t="shared" si="0"/>
        <v>11</v>
      </c>
      <c r="B12" s="4" t="s">
        <v>7</v>
      </c>
      <c r="C12" s="3" t="s">
        <v>39</v>
      </c>
    </row>
    <row r="13" spans="1:3" x14ac:dyDescent="0.25">
      <c r="A13" s="5">
        <f t="shared" si="0"/>
        <v>12</v>
      </c>
      <c r="B13" s="3" t="s">
        <v>8</v>
      </c>
      <c r="C13" s="3" t="s">
        <v>40</v>
      </c>
    </row>
    <row r="14" spans="1:3" x14ac:dyDescent="0.25">
      <c r="A14" s="5">
        <f t="shared" si="0"/>
        <v>13</v>
      </c>
      <c r="B14" s="4" t="s">
        <v>13</v>
      </c>
      <c r="C14" s="3" t="s">
        <v>41</v>
      </c>
    </row>
    <row r="15" spans="1:3" x14ac:dyDescent="0.25">
      <c r="A15" s="5">
        <f t="shared" si="0"/>
        <v>14</v>
      </c>
      <c r="B15" s="3" t="s">
        <v>14</v>
      </c>
      <c r="C15" s="3" t="s">
        <v>42</v>
      </c>
    </row>
    <row r="16" spans="1:3" x14ac:dyDescent="0.25">
      <c r="A16" s="5">
        <f t="shared" si="0"/>
        <v>15</v>
      </c>
      <c r="B16" s="3" t="s">
        <v>15</v>
      </c>
      <c r="C16" s="3" t="s">
        <v>43</v>
      </c>
    </row>
    <row r="17" spans="1:3" ht="30" x14ac:dyDescent="0.25">
      <c r="A17" s="5">
        <f t="shared" si="0"/>
        <v>16</v>
      </c>
      <c r="B17" s="4" t="s">
        <v>16</v>
      </c>
      <c r="C17" s="3" t="s">
        <v>44</v>
      </c>
    </row>
    <row r="18" spans="1:3" ht="30" x14ac:dyDescent="0.25">
      <c r="A18" s="5">
        <f t="shared" si="0"/>
        <v>17</v>
      </c>
      <c r="B18" s="4" t="s">
        <v>17</v>
      </c>
      <c r="C18" s="3" t="s">
        <v>45</v>
      </c>
    </row>
    <row r="19" spans="1:3" x14ac:dyDescent="0.25">
      <c r="A19" s="5">
        <f t="shared" si="0"/>
        <v>18</v>
      </c>
      <c r="B19" s="3" t="s">
        <v>18</v>
      </c>
      <c r="C19" s="3" t="s">
        <v>46</v>
      </c>
    </row>
    <row r="20" spans="1:3" x14ac:dyDescent="0.25">
      <c r="A20" s="5">
        <f t="shared" si="0"/>
        <v>19</v>
      </c>
      <c r="B20" s="3" t="s">
        <v>19</v>
      </c>
      <c r="C20" s="3" t="s">
        <v>47</v>
      </c>
    </row>
    <row r="21" spans="1:3" x14ac:dyDescent="0.25">
      <c r="A21" s="5">
        <f t="shared" si="0"/>
        <v>20</v>
      </c>
      <c r="B21" s="3" t="s">
        <v>20</v>
      </c>
      <c r="C21" s="3" t="s">
        <v>48</v>
      </c>
    </row>
    <row r="22" spans="1:3" x14ac:dyDescent="0.25">
      <c r="A22" s="5">
        <f t="shared" si="0"/>
        <v>21</v>
      </c>
      <c r="B22" s="3" t="s">
        <v>21</v>
      </c>
      <c r="C22" s="3" t="s">
        <v>49</v>
      </c>
    </row>
    <row r="23" spans="1:3" x14ac:dyDescent="0.25">
      <c r="A23" s="5">
        <f t="shared" si="0"/>
        <v>22</v>
      </c>
      <c r="B23" s="3" t="s">
        <v>22</v>
      </c>
      <c r="C23" s="3" t="s">
        <v>50</v>
      </c>
    </row>
    <row r="24" spans="1:3" x14ac:dyDescent="0.25">
      <c r="A24" s="5">
        <f t="shared" si="0"/>
        <v>23</v>
      </c>
      <c r="B24" s="3" t="s">
        <v>23</v>
      </c>
      <c r="C24" s="3" t="s">
        <v>51</v>
      </c>
    </row>
    <row r="25" spans="1:3" x14ac:dyDescent="0.25">
      <c r="A25" s="5">
        <f t="shared" si="0"/>
        <v>24</v>
      </c>
      <c r="B25" s="3" t="s">
        <v>24</v>
      </c>
      <c r="C25" s="3" t="s">
        <v>52</v>
      </c>
    </row>
    <row r="26" spans="1:3" x14ac:dyDescent="0.25">
      <c r="A26" s="5">
        <f t="shared" si="0"/>
        <v>25</v>
      </c>
      <c r="B26" s="3" t="s">
        <v>25</v>
      </c>
      <c r="C26" s="3" t="s">
        <v>53</v>
      </c>
    </row>
    <row r="27" spans="1:3" x14ac:dyDescent="0.25">
      <c r="A27" s="5">
        <f t="shared" si="0"/>
        <v>26</v>
      </c>
      <c r="B27" s="3" t="s">
        <v>26</v>
      </c>
      <c r="C27" s="3" t="s">
        <v>54</v>
      </c>
    </row>
    <row r="28" spans="1:3" ht="30" x14ac:dyDescent="0.25">
      <c r="A28" s="5">
        <f t="shared" si="0"/>
        <v>27</v>
      </c>
      <c r="B28" s="4" t="s">
        <v>27</v>
      </c>
      <c r="C28" s="3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34927-D1B0-41D7-85DB-B2265BCF703B}">
  <dimension ref="A1:AK16"/>
  <sheetViews>
    <sheetView tabSelected="1" topLeftCell="W1" workbookViewId="0">
      <selection activeCell="AI19" sqref="AI19"/>
    </sheetView>
  </sheetViews>
  <sheetFormatPr defaultRowHeight="50.25" customHeight="1" x14ac:dyDescent="0.25"/>
  <cols>
    <col min="1" max="1" width="6.42578125" bestFit="1" customWidth="1"/>
    <col min="2" max="2" width="23.28515625" bestFit="1" customWidth="1"/>
    <col min="3" max="3" width="16.85546875" bestFit="1" customWidth="1"/>
    <col min="4" max="4" width="12.85546875" bestFit="1" customWidth="1"/>
    <col min="5" max="5" width="14.85546875" bestFit="1" customWidth="1"/>
    <col min="6" max="6" width="9.42578125" bestFit="1" customWidth="1"/>
    <col min="7" max="7" width="11" bestFit="1" customWidth="1"/>
    <col min="8" max="8" width="10.42578125" bestFit="1" customWidth="1"/>
    <col min="9" max="9" width="19.5703125" bestFit="1" customWidth="1"/>
    <col min="10" max="10" width="12.140625" bestFit="1" customWidth="1"/>
    <col min="11" max="11" width="14.140625" bestFit="1" customWidth="1"/>
    <col min="12" max="12" width="19.140625" bestFit="1" customWidth="1"/>
    <col min="13" max="13" width="13.140625" bestFit="1" customWidth="1"/>
    <col min="14" max="14" width="13.5703125" bestFit="1" customWidth="1"/>
    <col min="15" max="15" width="18.140625" bestFit="1" customWidth="1"/>
    <col min="16" max="16" width="16.5703125" bestFit="1" customWidth="1"/>
    <col min="17" max="17" width="14.85546875" bestFit="1" customWidth="1"/>
    <col min="18" max="18" width="18.28515625" bestFit="1" customWidth="1"/>
    <col min="19" max="19" width="22.7109375" bestFit="1" customWidth="1"/>
    <col min="20" max="20" width="27.5703125" bestFit="1" customWidth="1"/>
    <col min="21" max="21" width="15.7109375" bestFit="1" customWidth="1"/>
    <col min="22" max="22" width="19.85546875" bestFit="1" customWidth="1"/>
    <col min="23" max="23" width="16.28515625" bestFit="1" customWidth="1"/>
    <col min="24" max="24" width="13.5703125" bestFit="1" customWidth="1"/>
    <col min="25" max="25" width="26.5703125" bestFit="1" customWidth="1"/>
    <col min="26" max="26" width="15.42578125" bestFit="1" customWidth="1"/>
    <col min="27" max="27" width="14.7109375" bestFit="1" customWidth="1"/>
    <col min="28" max="28" width="15.85546875" bestFit="1" customWidth="1"/>
    <col min="29" max="29" width="19.140625" bestFit="1" customWidth="1"/>
    <col min="30" max="30" width="20.42578125" bestFit="1" customWidth="1"/>
    <col min="31" max="31" width="15.5703125" bestFit="1" customWidth="1"/>
    <col min="32" max="32" width="16.7109375" bestFit="1" customWidth="1"/>
    <col min="33" max="33" width="19.28515625" bestFit="1" customWidth="1"/>
    <col min="34" max="34" width="19.42578125" bestFit="1" customWidth="1"/>
    <col min="35" max="35" width="19.42578125" customWidth="1"/>
    <col min="36" max="36" width="15.85546875" bestFit="1" customWidth="1"/>
    <col min="37" max="37" width="23.42578125" bestFit="1" customWidth="1"/>
  </cols>
  <sheetData>
    <row r="1" spans="1:37" ht="24.95" customHeight="1" x14ac:dyDescent="0.25">
      <c r="A1" s="8" t="s">
        <v>56</v>
      </c>
      <c r="B1" s="8" t="s">
        <v>57</v>
      </c>
      <c r="C1" s="8" t="s">
        <v>58</v>
      </c>
      <c r="D1" s="8" t="s">
        <v>59</v>
      </c>
      <c r="E1" s="8" t="s">
        <v>60</v>
      </c>
      <c r="F1" s="8" t="s">
        <v>61</v>
      </c>
      <c r="G1" s="8" t="s">
        <v>62</v>
      </c>
      <c r="H1" s="8" t="s">
        <v>63</v>
      </c>
      <c r="I1" s="8" t="s">
        <v>64</v>
      </c>
      <c r="J1" s="8" t="s">
        <v>192</v>
      </c>
      <c r="K1" s="8" t="s">
        <v>191</v>
      </c>
      <c r="L1" s="8" t="s">
        <v>65</v>
      </c>
      <c r="M1" s="8" t="s">
        <v>223</v>
      </c>
      <c r="N1" s="8" t="s">
        <v>224</v>
      </c>
      <c r="O1" s="8" t="s">
        <v>66</v>
      </c>
      <c r="P1" s="8" t="s">
        <v>198</v>
      </c>
      <c r="Q1" s="8" t="s">
        <v>199</v>
      </c>
      <c r="R1" s="8" t="s">
        <v>231</v>
      </c>
      <c r="S1" s="8" t="s">
        <v>67</v>
      </c>
      <c r="T1" s="8" t="s">
        <v>247</v>
      </c>
      <c r="U1" s="8" t="s">
        <v>210</v>
      </c>
      <c r="V1" s="8" t="s">
        <v>211</v>
      </c>
      <c r="W1" s="8" t="s">
        <v>212</v>
      </c>
      <c r="X1" s="8" t="s">
        <v>213</v>
      </c>
      <c r="Y1" s="8" t="s">
        <v>215</v>
      </c>
      <c r="Z1" s="8" t="s">
        <v>68</v>
      </c>
      <c r="AA1" s="8" t="s">
        <v>69</v>
      </c>
      <c r="AB1" s="8" t="s">
        <v>70</v>
      </c>
      <c r="AC1" s="8" t="s">
        <v>71</v>
      </c>
      <c r="AD1" s="8" t="s">
        <v>72</v>
      </c>
      <c r="AE1" s="8" t="s">
        <v>73</v>
      </c>
      <c r="AF1" s="8" t="s">
        <v>74</v>
      </c>
      <c r="AG1" s="8" t="s">
        <v>75</v>
      </c>
      <c r="AH1" s="8" t="s">
        <v>76</v>
      </c>
      <c r="AI1" s="8" t="s">
        <v>248</v>
      </c>
      <c r="AJ1" s="8" t="s">
        <v>77</v>
      </c>
      <c r="AK1" s="8" t="s">
        <v>78</v>
      </c>
    </row>
    <row r="2" spans="1:37" ht="24.95" customHeight="1" x14ac:dyDescent="0.25">
      <c r="A2" s="5">
        <v>1</v>
      </c>
      <c r="B2" s="3" t="s">
        <v>79</v>
      </c>
      <c r="C2" s="3" t="s">
        <v>80</v>
      </c>
      <c r="D2" s="3" t="s">
        <v>81</v>
      </c>
      <c r="E2" s="3" t="s">
        <v>82</v>
      </c>
      <c r="F2" s="3" t="s">
        <v>83</v>
      </c>
      <c r="G2" s="6">
        <v>45658</v>
      </c>
      <c r="H2" s="6">
        <v>45838</v>
      </c>
      <c r="I2" s="3" t="s">
        <v>120</v>
      </c>
      <c r="J2" s="3">
        <v>10</v>
      </c>
      <c r="K2" s="3" t="s">
        <v>193</v>
      </c>
      <c r="L2" s="3" t="s">
        <v>84</v>
      </c>
      <c r="M2" s="3" t="s">
        <v>216</v>
      </c>
      <c r="N2" s="7">
        <v>1</v>
      </c>
      <c r="O2" s="3" t="s">
        <v>85</v>
      </c>
      <c r="P2" s="3">
        <v>45</v>
      </c>
      <c r="Q2" s="3">
        <v>50</v>
      </c>
      <c r="R2" s="9" t="s">
        <v>232</v>
      </c>
      <c r="S2" s="5">
        <v>0</v>
      </c>
      <c r="T2" s="10">
        <v>0.84</v>
      </c>
      <c r="U2" s="3" t="s">
        <v>200</v>
      </c>
      <c r="V2" s="3">
        <v>500</v>
      </c>
      <c r="W2" s="3">
        <v>520</v>
      </c>
      <c r="X2" s="3" t="s">
        <v>230</v>
      </c>
      <c r="Y2" s="7">
        <v>0.7</v>
      </c>
      <c r="Z2" s="3" t="s">
        <v>86</v>
      </c>
      <c r="AA2" s="3" t="s">
        <v>87</v>
      </c>
      <c r="AB2" s="3" t="s">
        <v>88</v>
      </c>
      <c r="AC2" s="3" t="s">
        <v>89</v>
      </c>
      <c r="AD2" s="3" t="s">
        <v>90</v>
      </c>
      <c r="AE2" s="6">
        <v>45721</v>
      </c>
      <c r="AF2" s="3" t="s">
        <v>197</v>
      </c>
      <c r="AG2" s="3" t="s">
        <v>91</v>
      </c>
      <c r="AH2" s="3">
        <v>65</v>
      </c>
      <c r="AI2" s="3">
        <v>0.65</v>
      </c>
      <c r="AJ2" s="6">
        <v>45853</v>
      </c>
      <c r="AK2" s="3" t="s">
        <v>92</v>
      </c>
    </row>
    <row r="3" spans="1:37" ht="24.95" customHeight="1" x14ac:dyDescent="0.25">
      <c r="A3" s="5">
        <v>2</v>
      </c>
      <c r="B3" s="3" t="s">
        <v>93</v>
      </c>
      <c r="C3" s="3" t="s">
        <v>94</v>
      </c>
      <c r="D3" s="3" t="s">
        <v>95</v>
      </c>
      <c r="E3" s="3" t="s">
        <v>96</v>
      </c>
      <c r="F3" s="3" t="s">
        <v>97</v>
      </c>
      <c r="G3" s="6">
        <v>45667</v>
      </c>
      <c r="H3" s="6">
        <v>45808</v>
      </c>
      <c r="I3" s="3" t="s">
        <v>120</v>
      </c>
      <c r="J3" s="3">
        <v>25</v>
      </c>
      <c r="K3" s="3" t="s">
        <v>194</v>
      </c>
      <c r="L3" s="3" t="s">
        <v>98</v>
      </c>
      <c r="M3" s="3" t="s">
        <v>217</v>
      </c>
      <c r="N3" s="7">
        <v>1</v>
      </c>
      <c r="O3" s="3" t="s">
        <v>85</v>
      </c>
      <c r="P3" s="3">
        <v>30</v>
      </c>
      <c r="Q3" s="3">
        <v>40</v>
      </c>
      <c r="R3" s="9" t="s">
        <v>233</v>
      </c>
      <c r="S3" s="5">
        <v>0</v>
      </c>
      <c r="T3" s="10">
        <v>0.72</v>
      </c>
      <c r="U3" s="3" t="s">
        <v>201</v>
      </c>
      <c r="V3" s="3">
        <v>300</v>
      </c>
      <c r="W3" s="3">
        <v>310</v>
      </c>
      <c r="X3" s="3" t="s">
        <v>230</v>
      </c>
      <c r="Y3" s="7">
        <v>0.55000000000000004</v>
      </c>
      <c r="Z3" s="3" t="s">
        <v>99</v>
      </c>
      <c r="AA3" s="3" t="s">
        <v>100</v>
      </c>
      <c r="AB3" s="3" t="s">
        <v>101</v>
      </c>
      <c r="AC3" s="3" t="s">
        <v>89</v>
      </c>
      <c r="AD3" s="3" t="s">
        <v>102</v>
      </c>
      <c r="AE3" s="6">
        <v>45724</v>
      </c>
      <c r="AF3" s="3" t="s">
        <v>102</v>
      </c>
      <c r="AG3" s="3" t="s">
        <v>103</v>
      </c>
      <c r="AH3" s="3">
        <v>50</v>
      </c>
      <c r="AI3" s="3">
        <v>0.5</v>
      </c>
      <c r="AJ3" s="6">
        <v>45869</v>
      </c>
      <c r="AK3" s="3" t="s">
        <v>104</v>
      </c>
    </row>
    <row r="4" spans="1:37" ht="24.95" customHeight="1" x14ac:dyDescent="0.25">
      <c r="A4" s="5">
        <v>3</v>
      </c>
      <c r="B4" s="3" t="s">
        <v>105</v>
      </c>
      <c r="C4" s="3" t="s">
        <v>106</v>
      </c>
      <c r="D4" s="3" t="s">
        <v>107</v>
      </c>
      <c r="E4" s="3" t="s">
        <v>82</v>
      </c>
      <c r="F4" s="3" t="s">
        <v>108</v>
      </c>
      <c r="G4" s="6">
        <v>45693</v>
      </c>
      <c r="H4" s="6">
        <v>45777</v>
      </c>
      <c r="I4" s="3" t="s">
        <v>109</v>
      </c>
      <c r="J4" s="3">
        <v>0</v>
      </c>
      <c r="K4" s="3" t="s">
        <v>197</v>
      </c>
      <c r="L4" s="3" t="s">
        <v>110</v>
      </c>
      <c r="M4" s="3" t="s">
        <v>214</v>
      </c>
      <c r="N4" s="7">
        <v>1</v>
      </c>
      <c r="O4" s="3" t="s">
        <v>111</v>
      </c>
      <c r="P4" s="3">
        <v>25</v>
      </c>
      <c r="Q4" s="3">
        <v>25</v>
      </c>
      <c r="R4" s="9" t="s">
        <v>234</v>
      </c>
      <c r="S4" s="5">
        <v>0</v>
      </c>
      <c r="T4" s="10">
        <v>0.91</v>
      </c>
      <c r="U4" s="3" t="s">
        <v>202</v>
      </c>
      <c r="V4" s="3">
        <v>120</v>
      </c>
      <c r="W4" s="3">
        <v>118</v>
      </c>
      <c r="X4" s="3" t="s">
        <v>230</v>
      </c>
      <c r="Y4" s="7">
        <v>1</v>
      </c>
      <c r="Z4" s="3" t="s">
        <v>112</v>
      </c>
      <c r="AA4" s="3" t="s">
        <v>113</v>
      </c>
      <c r="AB4" s="3" t="s">
        <v>114</v>
      </c>
      <c r="AC4" s="3" t="s">
        <v>89</v>
      </c>
      <c r="AD4" s="3" t="s">
        <v>90</v>
      </c>
      <c r="AE4" s="6">
        <v>45748</v>
      </c>
      <c r="AF4" s="3" t="s">
        <v>197</v>
      </c>
      <c r="AG4" s="3" t="s">
        <v>91</v>
      </c>
      <c r="AH4" s="3">
        <v>80</v>
      </c>
      <c r="AI4" s="3">
        <v>0.8</v>
      </c>
      <c r="AJ4" s="6">
        <v>45787</v>
      </c>
      <c r="AK4" s="3" t="s">
        <v>115</v>
      </c>
    </row>
    <row r="5" spans="1:37" ht="24.95" customHeight="1" x14ac:dyDescent="0.25">
      <c r="A5" s="5">
        <v>4</v>
      </c>
      <c r="B5" s="3" t="s">
        <v>116</v>
      </c>
      <c r="C5" s="3" t="s">
        <v>117</v>
      </c>
      <c r="D5" s="3" t="s">
        <v>118</v>
      </c>
      <c r="E5" s="3" t="s">
        <v>82</v>
      </c>
      <c r="F5" s="3" t="s">
        <v>119</v>
      </c>
      <c r="G5" s="6">
        <v>45703</v>
      </c>
      <c r="H5" s="6">
        <v>45823</v>
      </c>
      <c r="I5" s="3" t="s">
        <v>120</v>
      </c>
      <c r="J5" s="3">
        <v>7</v>
      </c>
      <c r="K5" s="3" t="s">
        <v>179</v>
      </c>
      <c r="L5" s="3" t="s">
        <v>121</v>
      </c>
      <c r="M5" s="3" t="s">
        <v>218</v>
      </c>
      <c r="N5" s="7">
        <v>1</v>
      </c>
      <c r="O5" s="3" t="s">
        <v>85</v>
      </c>
      <c r="P5" s="3">
        <v>20</v>
      </c>
      <c r="Q5" s="3">
        <v>25</v>
      </c>
      <c r="R5" s="9" t="s">
        <v>235</v>
      </c>
      <c r="S5" s="5">
        <v>0</v>
      </c>
      <c r="T5" s="10">
        <v>0.78</v>
      </c>
      <c r="U5" s="3" t="s">
        <v>203</v>
      </c>
      <c r="V5" s="3">
        <v>200</v>
      </c>
      <c r="W5" s="3">
        <v>210</v>
      </c>
      <c r="X5" s="3" t="s">
        <v>230</v>
      </c>
      <c r="Y5" s="7">
        <v>0.65</v>
      </c>
      <c r="Z5" s="3" t="s">
        <v>122</v>
      </c>
      <c r="AA5" s="3" t="s">
        <v>123</v>
      </c>
      <c r="AB5" s="3" t="s">
        <v>124</v>
      </c>
      <c r="AC5" s="3" t="s">
        <v>89</v>
      </c>
      <c r="AD5" s="3" t="s">
        <v>90</v>
      </c>
      <c r="AE5" s="6">
        <v>45736</v>
      </c>
      <c r="AF5" s="3" t="s">
        <v>197</v>
      </c>
      <c r="AG5" s="3" t="s">
        <v>91</v>
      </c>
      <c r="AH5" s="3">
        <v>60</v>
      </c>
      <c r="AI5" s="3">
        <v>0.6</v>
      </c>
      <c r="AJ5" s="6">
        <v>45833</v>
      </c>
      <c r="AK5" s="3" t="s">
        <v>125</v>
      </c>
    </row>
    <row r="6" spans="1:37" ht="24.95" customHeight="1" x14ac:dyDescent="0.25">
      <c r="A6" s="5">
        <v>5</v>
      </c>
      <c r="B6" s="3" t="s">
        <v>126</v>
      </c>
      <c r="C6" s="3" t="s">
        <v>127</v>
      </c>
      <c r="D6" s="3" t="s">
        <v>95</v>
      </c>
      <c r="E6" s="3" t="s">
        <v>96</v>
      </c>
      <c r="F6" s="3" t="s">
        <v>128</v>
      </c>
      <c r="G6" s="6">
        <v>45627</v>
      </c>
      <c r="H6" s="6">
        <v>45747</v>
      </c>
      <c r="I6" s="3" t="s">
        <v>120</v>
      </c>
      <c r="J6" s="3">
        <v>40</v>
      </c>
      <c r="K6" s="3" t="s">
        <v>195</v>
      </c>
      <c r="L6" s="3" t="s">
        <v>84</v>
      </c>
      <c r="M6" s="3" t="s">
        <v>219</v>
      </c>
      <c r="N6" s="7">
        <v>1</v>
      </c>
      <c r="O6" s="3" t="s">
        <v>85</v>
      </c>
      <c r="P6" s="3">
        <v>35</v>
      </c>
      <c r="Q6" s="3">
        <v>45</v>
      </c>
      <c r="R6" s="9" t="s">
        <v>236</v>
      </c>
      <c r="S6" s="5">
        <v>0</v>
      </c>
      <c r="T6" s="10">
        <v>0.69</v>
      </c>
      <c r="U6" s="3" t="s">
        <v>204</v>
      </c>
      <c r="V6" s="3">
        <v>80</v>
      </c>
      <c r="W6" s="3">
        <v>90</v>
      </c>
      <c r="X6" s="3" t="s">
        <v>230</v>
      </c>
      <c r="Y6" s="7">
        <v>0.4</v>
      </c>
      <c r="Z6" s="3" t="s">
        <v>86</v>
      </c>
      <c r="AA6" s="3" t="s">
        <v>129</v>
      </c>
      <c r="AB6" s="3" t="s">
        <v>130</v>
      </c>
      <c r="AC6" s="3" t="s">
        <v>131</v>
      </c>
      <c r="AD6" s="3" t="s">
        <v>132</v>
      </c>
      <c r="AE6" s="6">
        <v>45706</v>
      </c>
      <c r="AF6" s="3" t="s">
        <v>102</v>
      </c>
      <c r="AG6" s="3" t="s">
        <v>103</v>
      </c>
      <c r="AH6" s="3">
        <v>45</v>
      </c>
      <c r="AI6" s="3">
        <v>0.45</v>
      </c>
      <c r="AJ6" s="6">
        <v>45808</v>
      </c>
      <c r="AK6" s="3" t="s">
        <v>133</v>
      </c>
    </row>
    <row r="7" spans="1:37" ht="24.95" customHeight="1" x14ac:dyDescent="0.25">
      <c r="A7" s="5">
        <v>6</v>
      </c>
      <c r="B7" s="3" t="s">
        <v>134</v>
      </c>
      <c r="C7" s="3" t="s">
        <v>135</v>
      </c>
      <c r="D7" s="3" t="s">
        <v>81</v>
      </c>
      <c r="E7" s="3" t="s">
        <v>82</v>
      </c>
      <c r="F7" s="3" t="s">
        <v>83</v>
      </c>
      <c r="G7" s="6">
        <v>45717</v>
      </c>
      <c r="H7" s="6">
        <v>45869</v>
      </c>
      <c r="I7" s="3" t="s">
        <v>109</v>
      </c>
      <c r="J7" s="3">
        <v>0</v>
      </c>
      <c r="K7" s="3" t="s">
        <v>197</v>
      </c>
      <c r="L7" s="3" t="s">
        <v>136</v>
      </c>
      <c r="M7" s="3" t="s">
        <v>220</v>
      </c>
      <c r="N7" s="7">
        <v>1</v>
      </c>
      <c r="O7" s="3" t="s">
        <v>85</v>
      </c>
      <c r="P7" s="3">
        <v>28</v>
      </c>
      <c r="Q7" s="3">
        <v>30</v>
      </c>
      <c r="R7" s="9" t="s">
        <v>237</v>
      </c>
      <c r="S7" s="5">
        <v>0</v>
      </c>
      <c r="T7" s="10">
        <v>0.88</v>
      </c>
      <c r="U7" s="3" t="s">
        <v>205</v>
      </c>
      <c r="V7" s="3">
        <v>600</v>
      </c>
      <c r="W7" s="3">
        <v>590</v>
      </c>
      <c r="X7" s="3" t="s">
        <v>230</v>
      </c>
      <c r="Y7" s="7">
        <v>0.6</v>
      </c>
      <c r="Z7" s="3" t="s">
        <v>137</v>
      </c>
      <c r="AA7" s="3" t="s">
        <v>113</v>
      </c>
      <c r="AB7" s="3" t="s">
        <v>138</v>
      </c>
      <c r="AC7" s="3" t="s">
        <v>89</v>
      </c>
      <c r="AD7" s="3" t="s">
        <v>90</v>
      </c>
      <c r="AE7" s="6">
        <v>45757</v>
      </c>
      <c r="AF7" s="3" t="s">
        <v>197</v>
      </c>
      <c r="AG7" s="3" t="s">
        <v>91</v>
      </c>
      <c r="AH7" s="3">
        <v>58</v>
      </c>
      <c r="AI7" s="3">
        <v>0.57999999999999996</v>
      </c>
      <c r="AJ7" s="6">
        <v>45879</v>
      </c>
      <c r="AK7" s="3" t="s">
        <v>139</v>
      </c>
    </row>
    <row r="8" spans="1:37" ht="24.95" customHeight="1" x14ac:dyDescent="0.25">
      <c r="A8" s="5">
        <v>7</v>
      </c>
      <c r="B8" s="3" t="s">
        <v>140</v>
      </c>
      <c r="C8" s="3" t="s">
        <v>141</v>
      </c>
      <c r="D8" s="3" t="s">
        <v>95</v>
      </c>
      <c r="E8" s="3" t="s">
        <v>82</v>
      </c>
      <c r="F8" s="3" t="s">
        <v>142</v>
      </c>
      <c r="G8" s="6">
        <v>45677</v>
      </c>
      <c r="H8" s="6">
        <v>45838</v>
      </c>
      <c r="I8" s="3" t="s">
        <v>109</v>
      </c>
      <c r="J8" s="3">
        <v>0</v>
      </c>
      <c r="K8" s="3" t="s">
        <v>197</v>
      </c>
      <c r="L8" s="3" t="s">
        <v>143</v>
      </c>
      <c r="M8" s="3" t="s">
        <v>217</v>
      </c>
      <c r="N8" s="7">
        <v>0.55000000000000004</v>
      </c>
      <c r="O8" s="3" t="s">
        <v>111</v>
      </c>
      <c r="P8" s="3">
        <v>40</v>
      </c>
      <c r="Q8" s="3">
        <v>40</v>
      </c>
      <c r="R8" s="9" t="s">
        <v>238</v>
      </c>
      <c r="S8" s="5">
        <v>0</v>
      </c>
      <c r="T8" s="10">
        <v>0.81</v>
      </c>
      <c r="U8" s="3" t="s">
        <v>206</v>
      </c>
      <c r="V8" s="3">
        <v>400</v>
      </c>
      <c r="W8" s="3">
        <v>395</v>
      </c>
      <c r="X8" s="3" t="s">
        <v>230</v>
      </c>
      <c r="Y8" s="7">
        <v>0.7</v>
      </c>
      <c r="Z8" s="3" t="s">
        <v>144</v>
      </c>
      <c r="AA8" s="3" t="s">
        <v>113</v>
      </c>
      <c r="AB8" s="3" t="s">
        <v>145</v>
      </c>
      <c r="AC8" s="3" t="s">
        <v>89</v>
      </c>
      <c r="AD8" s="3" t="s">
        <v>90</v>
      </c>
      <c r="AE8" s="6">
        <v>45738</v>
      </c>
      <c r="AF8" s="3" t="s">
        <v>197</v>
      </c>
      <c r="AG8" s="3" t="s">
        <v>91</v>
      </c>
      <c r="AH8" s="3">
        <v>72</v>
      </c>
      <c r="AI8" s="3">
        <v>0.72</v>
      </c>
      <c r="AJ8" s="6">
        <v>45848</v>
      </c>
      <c r="AK8" s="3" t="s">
        <v>146</v>
      </c>
    </row>
    <row r="9" spans="1:37" ht="24.95" customHeight="1" x14ac:dyDescent="0.25">
      <c r="A9" s="5">
        <v>8</v>
      </c>
      <c r="B9" s="3" t="s">
        <v>147</v>
      </c>
      <c r="C9" s="3" t="s">
        <v>148</v>
      </c>
      <c r="D9" s="3" t="s">
        <v>149</v>
      </c>
      <c r="E9" s="3" t="s">
        <v>96</v>
      </c>
      <c r="F9" s="3" t="s">
        <v>150</v>
      </c>
      <c r="G9" s="6">
        <v>45636</v>
      </c>
      <c r="H9" s="6">
        <v>45716</v>
      </c>
      <c r="I9" s="3" t="s">
        <v>120</v>
      </c>
      <c r="J9" s="3">
        <v>20</v>
      </c>
      <c r="K9" s="3" t="s">
        <v>152</v>
      </c>
      <c r="L9" s="3" t="s">
        <v>151</v>
      </c>
      <c r="M9" s="3" t="s">
        <v>221</v>
      </c>
      <c r="N9" s="7">
        <v>0.6</v>
      </c>
      <c r="O9" s="3" t="s">
        <v>85</v>
      </c>
      <c r="P9" s="3">
        <v>18</v>
      </c>
      <c r="Q9" s="3">
        <v>25</v>
      </c>
      <c r="R9" s="9" t="s">
        <v>239</v>
      </c>
      <c r="S9" s="5">
        <v>0</v>
      </c>
      <c r="T9" s="10">
        <v>0.94</v>
      </c>
      <c r="U9" s="3" t="s">
        <v>205</v>
      </c>
      <c r="V9" s="3">
        <v>200</v>
      </c>
      <c r="W9" s="3">
        <v>215</v>
      </c>
      <c r="X9" s="3" t="s">
        <v>230</v>
      </c>
      <c r="Y9" s="7">
        <v>0.6</v>
      </c>
      <c r="Z9" s="3" t="s">
        <v>152</v>
      </c>
      <c r="AA9" s="3" t="s">
        <v>153</v>
      </c>
      <c r="AB9" s="3" t="s">
        <v>154</v>
      </c>
      <c r="AC9" s="3" t="s">
        <v>89</v>
      </c>
      <c r="AD9" s="3" t="s">
        <v>155</v>
      </c>
      <c r="AE9" s="6">
        <v>45693</v>
      </c>
      <c r="AF9" s="3" t="s">
        <v>197</v>
      </c>
      <c r="AG9" s="3" t="s">
        <v>103</v>
      </c>
      <c r="AH9" s="3">
        <v>55</v>
      </c>
      <c r="AI9" s="3">
        <v>0.55000000000000004</v>
      </c>
      <c r="AJ9" s="6">
        <v>45747</v>
      </c>
      <c r="AK9" s="3" t="s">
        <v>156</v>
      </c>
    </row>
    <row r="10" spans="1:37" ht="24.95" customHeight="1" x14ac:dyDescent="0.25">
      <c r="A10" s="5">
        <v>9</v>
      </c>
      <c r="B10" s="3" t="s">
        <v>157</v>
      </c>
      <c r="C10" s="3" t="s">
        <v>158</v>
      </c>
      <c r="D10" s="3" t="s">
        <v>159</v>
      </c>
      <c r="E10" s="3" t="s">
        <v>160</v>
      </c>
      <c r="F10" s="3" t="s">
        <v>97</v>
      </c>
      <c r="G10" s="6">
        <v>45597</v>
      </c>
      <c r="H10" s="6">
        <v>45688</v>
      </c>
      <c r="I10" s="3" t="s">
        <v>109</v>
      </c>
      <c r="J10" s="3">
        <v>0</v>
      </c>
      <c r="K10" s="3" t="s">
        <v>197</v>
      </c>
      <c r="L10" s="3" t="s">
        <v>160</v>
      </c>
      <c r="M10" s="3" t="s">
        <v>225</v>
      </c>
      <c r="N10" s="7">
        <v>0.4</v>
      </c>
      <c r="O10" s="3" t="s">
        <v>111</v>
      </c>
      <c r="P10" s="3">
        <v>50</v>
      </c>
      <c r="Q10" s="3">
        <v>55</v>
      </c>
      <c r="R10" s="9" t="s">
        <v>240</v>
      </c>
      <c r="S10" s="5">
        <v>0</v>
      </c>
      <c r="T10" s="10">
        <v>0.89</v>
      </c>
      <c r="U10" s="3" t="s">
        <v>204</v>
      </c>
      <c r="V10" s="3">
        <v>30</v>
      </c>
      <c r="W10" s="3">
        <v>29</v>
      </c>
      <c r="X10" s="3" t="s">
        <v>230</v>
      </c>
      <c r="Y10" s="7">
        <v>1</v>
      </c>
      <c r="Z10" s="3" t="s">
        <v>113</v>
      </c>
      <c r="AA10" s="3" t="s">
        <v>113</v>
      </c>
      <c r="AB10" s="3" t="s">
        <v>161</v>
      </c>
      <c r="AC10" s="3" t="s">
        <v>89</v>
      </c>
      <c r="AD10" s="3" t="s">
        <v>90</v>
      </c>
      <c r="AE10" s="6">
        <v>45685</v>
      </c>
      <c r="AF10" s="3" t="s">
        <v>197</v>
      </c>
      <c r="AG10" s="3" t="s">
        <v>91</v>
      </c>
      <c r="AH10" s="3">
        <v>100</v>
      </c>
      <c r="AI10" s="3">
        <v>1</v>
      </c>
      <c r="AJ10" s="6">
        <v>45688</v>
      </c>
      <c r="AK10" s="3" t="s">
        <v>162</v>
      </c>
    </row>
    <row r="11" spans="1:37" ht="24.95" customHeight="1" x14ac:dyDescent="0.25">
      <c r="A11" s="5">
        <v>10</v>
      </c>
      <c r="B11" s="3" t="s">
        <v>163</v>
      </c>
      <c r="C11" s="3" t="s">
        <v>164</v>
      </c>
      <c r="D11" s="3" t="s">
        <v>165</v>
      </c>
      <c r="E11" s="3" t="s">
        <v>82</v>
      </c>
      <c r="F11" s="3" t="s">
        <v>119</v>
      </c>
      <c r="G11" s="6">
        <v>45689</v>
      </c>
      <c r="H11" s="6">
        <v>45808</v>
      </c>
      <c r="I11" s="3" t="s">
        <v>109</v>
      </c>
      <c r="J11" s="3">
        <v>0</v>
      </c>
      <c r="K11" s="3" t="s">
        <v>197</v>
      </c>
      <c r="L11" s="3" t="s">
        <v>166</v>
      </c>
      <c r="M11" s="3" t="s">
        <v>222</v>
      </c>
      <c r="N11" s="7">
        <v>0.7</v>
      </c>
      <c r="O11" s="3" t="s">
        <v>111</v>
      </c>
      <c r="P11" s="3">
        <v>15</v>
      </c>
      <c r="Q11" s="3">
        <v>15</v>
      </c>
      <c r="R11" s="9" t="s">
        <v>241</v>
      </c>
      <c r="S11" s="5">
        <v>0</v>
      </c>
      <c r="T11" s="10">
        <v>0.75</v>
      </c>
      <c r="U11" s="3" t="s">
        <v>207</v>
      </c>
      <c r="V11" s="3">
        <v>500</v>
      </c>
      <c r="W11" s="3">
        <v>480</v>
      </c>
      <c r="X11" s="3" t="s">
        <v>230</v>
      </c>
      <c r="Y11" s="7">
        <v>0.65</v>
      </c>
      <c r="Z11" s="3" t="s">
        <v>86</v>
      </c>
      <c r="AA11" s="3" t="s">
        <v>113</v>
      </c>
      <c r="AB11" s="3" t="s">
        <v>167</v>
      </c>
      <c r="AC11" s="3" t="s">
        <v>89</v>
      </c>
      <c r="AD11" s="3" t="s">
        <v>90</v>
      </c>
      <c r="AE11" s="6">
        <v>45741</v>
      </c>
      <c r="AF11" s="3" t="s">
        <v>197</v>
      </c>
      <c r="AG11" s="3" t="s">
        <v>91</v>
      </c>
      <c r="AH11" s="3">
        <v>68</v>
      </c>
      <c r="AI11" s="3">
        <v>0.68</v>
      </c>
      <c r="AJ11" s="6">
        <v>45818</v>
      </c>
      <c r="AK11" s="3" t="s">
        <v>168</v>
      </c>
    </row>
    <row r="12" spans="1:37" ht="24.95" customHeight="1" x14ac:dyDescent="0.25">
      <c r="A12" s="5">
        <v>11</v>
      </c>
      <c r="B12" s="3" t="s">
        <v>169</v>
      </c>
      <c r="C12" s="3" t="s">
        <v>80</v>
      </c>
      <c r="D12" s="3" t="s">
        <v>81</v>
      </c>
      <c r="E12" s="3" t="s">
        <v>82</v>
      </c>
      <c r="F12" s="3" t="s">
        <v>128</v>
      </c>
      <c r="G12" s="6">
        <v>45672</v>
      </c>
      <c r="H12" s="6">
        <v>45900</v>
      </c>
      <c r="I12" s="3" t="s">
        <v>120</v>
      </c>
      <c r="J12" s="3">
        <v>5</v>
      </c>
      <c r="K12" s="3" t="s">
        <v>196</v>
      </c>
      <c r="L12" s="3" t="s">
        <v>170</v>
      </c>
      <c r="M12" s="3" t="s">
        <v>118</v>
      </c>
      <c r="N12" s="7">
        <v>0.65</v>
      </c>
      <c r="O12" s="3" t="s">
        <v>85</v>
      </c>
      <c r="P12" s="3">
        <v>50</v>
      </c>
      <c r="Q12" s="3">
        <v>55</v>
      </c>
      <c r="R12" s="9" t="s">
        <v>242</v>
      </c>
      <c r="S12" s="5">
        <v>0</v>
      </c>
      <c r="T12" s="10">
        <v>0.66</v>
      </c>
      <c r="U12" s="3" t="s">
        <v>208</v>
      </c>
      <c r="V12" s="3">
        <v>1200</v>
      </c>
      <c r="W12" s="3">
        <v>1180</v>
      </c>
      <c r="X12" s="3" t="s">
        <v>230</v>
      </c>
      <c r="Y12" s="7">
        <v>0.55000000000000004</v>
      </c>
      <c r="Z12" s="3" t="s">
        <v>171</v>
      </c>
      <c r="AA12" s="3" t="s">
        <v>172</v>
      </c>
      <c r="AB12" s="3" t="s">
        <v>173</v>
      </c>
      <c r="AC12" s="3" t="s">
        <v>89</v>
      </c>
      <c r="AD12" s="3" t="s">
        <v>90</v>
      </c>
      <c r="AE12" s="6">
        <v>45749</v>
      </c>
      <c r="AF12" s="3" t="s">
        <v>197</v>
      </c>
      <c r="AG12" s="3" t="s">
        <v>91</v>
      </c>
      <c r="AH12" s="3">
        <v>52</v>
      </c>
      <c r="AI12" s="3">
        <v>0.52</v>
      </c>
      <c r="AJ12" s="6">
        <v>45915</v>
      </c>
      <c r="AK12" s="3" t="s">
        <v>92</v>
      </c>
    </row>
    <row r="13" spans="1:37" ht="24.95" customHeight="1" x14ac:dyDescent="0.25">
      <c r="A13" s="5">
        <v>12</v>
      </c>
      <c r="B13" s="3" t="s">
        <v>174</v>
      </c>
      <c r="C13" s="3" t="s">
        <v>94</v>
      </c>
      <c r="D13" s="3" t="s">
        <v>81</v>
      </c>
      <c r="E13" s="3" t="s">
        <v>160</v>
      </c>
      <c r="F13" s="3" t="s">
        <v>142</v>
      </c>
      <c r="G13" s="6">
        <v>45566</v>
      </c>
      <c r="H13" s="6">
        <v>45657</v>
      </c>
      <c r="I13" s="3" t="s">
        <v>109</v>
      </c>
      <c r="J13" s="3">
        <v>0</v>
      </c>
      <c r="K13" s="3" t="s">
        <v>197</v>
      </c>
      <c r="L13" s="3" t="s">
        <v>160</v>
      </c>
      <c r="M13" s="3" t="s">
        <v>226</v>
      </c>
      <c r="N13" s="7">
        <v>0.3</v>
      </c>
      <c r="O13" s="3" t="s">
        <v>111</v>
      </c>
      <c r="P13" s="3">
        <v>35</v>
      </c>
      <c r="Q13" s="3">
        <v>35</v>
      </c>
      <c r="R13" s="9" t="s">
        <v>243</v>
      </c>
      <c r="S13" s="5">
        <v>0</v>
      </c>
      <c r="T13" s="10">
        <v>0.92</v>
      </c>
      <c r="U13" s="3" t="s">
        <v>206</v>
      </c>
      <c r="V13" s="3">
        <v>90</v>
      </c>
      <c r="W13" s="3">
        <v>88</v>
      </c>
      <c r="X13" s="3" t="s">
        <v>230</v>
      </c>
      <c r="Y13" s="7">
        <v>1</v>
      </c>
      <c r="Z13" s="3" t="s">
        <v>113</v>
      </c>
      <c r="AA13" s="3" t="s">
        <v>113</v>
      </c>
      <c r="AB13" s="3" t="s">
        <v>161</v>
      </c>
      <c r="AC13" s="3" t="s">
        <v>89</v>
      </c>
      <c r="AD13" s="3" t="s">
        <v>90</v>
      </c>
      <c r="AE13" s="6">
        <v>45646</v>
      </c>
      <c r="AF13" s="3" t="s">
        <v>197</v>
      </c>
      <c r="AG13" s="3" t="s">
        <v>91</v>
      </c>
      <c r="AH13" s="3">
        <v>100</v>
      </c>
      <c r="AI13" s="3">
        <v>1</v>
      </c>
      <c r="AJ13" s="6">
        <v>45657</v>
      </c>
      <c r="AK13" s="3" t="s">
        <v>175</v>
      </c>
    </row>
    <row r="14" spans="1:37" ht="24.95" customHeight="1" x14ac:dyDescent="0.25">
      <c r="A14" s="5">
        <v>13</v>
      </c>
      <c r="B14" s="3" t="s">
        <v>176</v>
      </c>
      <c r="C14" s="3" t="s">
        <v>177</v>
      </c>
      <c r="D14" s="3" t="s">
        <v>118</v>
      </c>
      <c r="E14" s="3" t="s">
        <v>82</v>
      </c>
      <c r="F14" s="3" t="s">
        <v>83</v>
      </c>
      <c r="G14" s="6">
        <v>45717</v>
      </c>
      <c r="H14" s="6">
        <v>45869</v>
      </c>
      <c r="I14" s="3" t="s">
        <v>109</v>
      </c>
      <c r="J14" s="3">
        <v>0</v>
      </c>
      <c r="K14" s="3" t="s">
        <v>197</v>
      </c>
      <c r="L14" s="3" t="s">
        <v>178</v>
      </c>
      <c r="M14" s="3" t="s">
        <v>227</v>
      </c>
      <c r="N14" s="7">
        <v>0.5</v>
      </c>
      <c r="O14" s="3" t="s">
        <v>85</v>
      </c>
      <c r="P14" s="3">
        <v>22</v>
      </c>
      <c r="Q14" s="3">
        <v>25</v>
      </c>
      <c r="R14" s="9" t="s">
        <v>244</v>
      </c>
      <c r="S14" s="5">
        <v>0</v>
      </c>
      <c r="T14" s="10">
        <v>0.6</v>
      </c>
      <c r="U14" s="3" t="s">
        <v>209</v>
      </c>
      <c r="V14" s="3">
        <v>10</v>
      </c>
      <c r="W14" s="3">
        <v>11</v>
      </c>
      <c r="X14" s="3" t="s">
        <v>230</v>
      </c>
      <c r="Y14" s="7">
        <v>0.6</v>
      </c>
      <c r="Z14" s="3" t="s">
        <v>179</v>
      </c>
      <c r="AA14" s="3" t="s">
        <v>180</v>
      </c>
      <c r="AB14" s="3" t="s">
        <v>181</v>
      </c>
      <c r="AC14" s="3" t="s">
        <v>89</v>
      </c>
      <c r="AD14" s="3" t="s">
        <v>90</v>
      </c>
      <c r="AE14" s="6">
        <v>45759</v>
      </c>
      <c r="AF14" s="3" t="s">
        <v>197</v>
      </c>
      <c r="AG14" s="3" t="s">
        <v>91</v>
      </c>
      <c r="AH14" s="3">
        <v>62</v>
      </c>
      <c r="AI14" s="3">
        <v>0.62</v>
      </c>
      <c r="AJ14" s="6">
        <v>45879</v>
      </c>
      <c r="AK14" s="3" t="s">
        <v>182</v>
      </c>
    </row>
    <row r="15" spans="1:37" ht="24.95" customHeight="1" x14ac:dyDescent="0.25">
      <c r="A15" s="5">
        <v>14</v>
      </c>
      <c r="B15" s="3" t="s">
        <v>183</v>
      </c>
      <c r="C15" s="3" t="s">
        <v>141</v>
      </c>
      <c r="D15" s="3" t="s">
        <v>95</v>
      </c>
      <c r="E15" s="3" t="s">
        <v>96</v>
      </c>
      <c r="F15" s="3" t="s">
        <v>150</v>
      </c>
      <c r="G15" s="6">
        <v>45641</v>
      </c>
      <c r="H15" s="6">
        <v>45777</v>
      </c>
      <c r="I15" s="3" t="s">
        <v>120</v>
      </c>
      <c r="J15" s="3">
        <v>30</v>
      </c>
      <c r="K15" s="3" t="s">
        <v>112</v>
      </c>
      <c r="L15" s="3" t="s">
        <v>184</v>
      </c>
      <c r="M15" s="3" t="s">
        <v>205</v>
      </c>
      <c r="N15" s="7">
        <v>0.7</v>
      </c>
      <c r="O15" s="3" t="s">
        <v>85</v>
      </c>
      <c r="P15" s="3">
        <v>26</v>
      </c>
      <c r="Q15" s="3">
        <v>40</v>
      </c>
      <c r="R15" s="9" t="s">
        <v>245</v>
      </c>
      <c r="S15" s="5">
        <v>0</v>
      </c>
      <c r="T15" s="10">
        <v>0.73</v>
      </c>
      <c r="U15" s="3" t="s">
        <v>201</v>
      </c>
      <c r="V15" s="3">
        <v>700</v>
      </c>
      <c r="W15" s="3">
        <v>730</v>
      </c>
      <c r="X15" s="3" t="s">
        <v>230</v>
      </c>
      <c r="Y15" s="7">
        <v>0.45</v>
      </c>
      <c r="Z15" s="3" t="s">
        <v>112</v>
      </c>
      <c r="AA15" s="3" t="s">
        <v>185</v>
      </c>
      <c r="AB15" s="3" t="s">
        <v>186</v>
      </c>
      <c r="AC15" s="3" t="s">
        <v>89</v>
      </c>
      <c r="AD15" s="3" t="s">
        <v>102</v>
      </c>
      <c r="AE15" s="6">
        <v>45734</v>
      </c>
      <c r="AF15" s="3" t="s">
        <v>102</v>
      </c>
      <c r="AG15" s="3" t="s">
        <v>103</v>
      </c>
      <c r="AH15" s="3">
        <v>43</v>
      </c>
      <c r="AI15" s="3">
        <v>0.43</v>
      </c>
      <c r="AJ15" s="6">
        <v>45808</v>
      </c>
      <c r="AK15" s="3" t="s">
        <v>104</v>
      </c>
    </row>
    <row r="16" spans="1:37" ht="24.95" customHeight="1" x14ac:dyDescent="0.25">
      <c r="A16" s="5">
        <v>15</v>
      </c>
      <c r="B16" s="3" t="s">
        <v>187</v>
      </c>
      <c r="C16" s="3" t="s">
        <v>106</v>
      </c>
      <c r="D16" s="3" t="s">
        <v>107</v>
      </c>
      <c r="E16" s="3" t="s">
        <v>82</v>
      </c>
      <c r="F16" s="3" t="s">
        <v>97</v>
      </c>
      <c r="G16" s="6">
        <v>45689</v>
      </c>
      <c r="H16" s="6">
        <v>45961</v>
      </c>
      <c r="I16" s="3" t="s">
        <v>109</v>
      </c>
      <c r="J16" s="3">
        <v>0</v>
      </c>
      <c r="K16" s="3" t="s">
        <v>197</v>
      </c>
      <c r="L16" s="3" t="s">
        <v>84</v>
      </c>
      <c r="M16" s="3" t="s">
        <v>228</v>
      </c>
      <c r="N16" s="7">
        <v>0.4</v>
      </c>
      <c r="O16" s="3" t="s">
        <v>111</v>
      </c>
      <c r="P16" s="3">
        <v>35</v>
      </c>
      <c r="Q16" s="3">
        <v>35</v>
      </c>
      <c r="R16" s="9" t="s">
        <v>246</v>
      </c>
      <c r="S16" s="5">
        <v>0</v>
      </c>
      <c r="T16" s="10">
        <v>0.86</v>
      </c>
      <c r="U16" s="3" t="s">
        <v>202</v>
      </c>
      <c r="V16" s="3">
        <v>300</v>
      </c>
      <c r="W16" s="3">
        <v>295</v>
      </c>
      <c r="X16" s="3" t="s">
        <v>230</v>
      </c>
      <c r="Y16" s="7">
        <v>0.25</v>
      </c>
      <c r="Z16" s="3" t="s">
        <v>188</v>
      </c>
      <c r="AA16" s="3" t="s">
        <v>113</v>
      </c>
      <c r="AB16" s="3" t="s">
        <v>189</v>
      </c>
      <c r="AC16" s="3" t="s">
        <v>89</v>
      </c>
      <c r="AD16" s="3" t="s">
        <v>90</v>
      </c>
      <c r="AE16" s="6">
        <v>45752</v>
      </c>
      <c r="AF16" s="3" t="s">
        <v>197</v>
      </c>
      <c r="AG16" s="3" t="s">
        <v>91</v>
      </c>
      <c r="AH16" s="3">
        <v>25</v>
      </c>
      <c r="AI16" s="3">
        <v>0.25</v>
      </c>
      <c r="AJ16" s="6">
        <v>45976</v>
      </c>
      <c r="AK16" s="3" t="s">
        <v>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Physical progress</vt:lpstr>
      <vt:lpstr>Dummy_Data_Review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2025-12-23T04:43:15Z</dcterms:modified>
</cp:coreProperties>
</file>